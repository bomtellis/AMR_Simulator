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ed833cbfa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2128722d0964676"/>
    <x:sheet xmlns:r="http://schemas.openxmlformats.org/officeDocument/2006/relationships" name="Data &amp; Targets" sheetId="2" r:id="R00e7d115c07342c7"/>
    <x:sheet xmlns:r="http://schemas.openxmlformats.org/officeDocument/2006/relationships" name="_Chart Helpers" sheetId="3" r:id="R76c4dd47bd9541d8"/>
    <x:sheet xmlns:r="http://schemas.openxmlformats.org/officeDocument/2006/relationships" name="Departments" sheetId="4" r:id="R6d0acfffe2ff4302"/>
    <x:sheet xmlns:r="http://schemas.openxmlformats.org/officeDocument/2006/relationships" name="Generation rules" sheetId="5" r:id="Rb42021f0632e4978"/>
    <x:sheet xmlns:r="http://schemas.openxmlformats.org/officeDocument/2006/relationships" name="Timetable" sheetId="6" r:id="R800456f3b8b2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yyyy-mm-dd hh:mm:ss"/>
    <x:numFmt numFmtId="201" formatCode="yyyy-mm-dd ddd"/>
  </x:numFmts>
  <x:fonts count="26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name val="Arial"/>
    </x:font>
    <x:font>
      <x:b/>
      <x:sz val="14"/>
      <x:color rgb="FF152A3C"/>
      <x:name val="Arial"/>
    </x:font>
    <x:font>
      <x:sz val="10"/>
      <x:color rgb="FF22384B"/>
      <x:name val="Arial"/>
    </x:font>
    <x:font>
      <x:sz val="10"/>
      <x:color rgb="FFFFFFFF"/>
      <x:name val="Arial"/>
    </x:font>
    <x:font>
      <x:b/>
      <x:sz val="16"/>
      <x:color rgb="FFFFFFFF"/>
      <x:name val="Arial"/>
    </x:font>
    <x:font>
      <x:b/>
      <x:sz val="24"/>
      <x:color rgb="FFFFFFFF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FFFFFF"/>
      </x:patternFill>
    </x:fill>
    <x:fill>
      <x:patternFill patternType="solid">
        <x:fgColor rgb="FF1B354C"/>
      </x:patternFill>
    </x:fill>
    <x:fill>
      <x:patternFill patternType="solid">
        <x:fgColor rgb="FFE2F0DF"/>
      </x:patternFill>
    </x:fill>
    <x:fill>
      <x:patternFill patternType="solid">
        <x:fgColor rgb="FFD7F2F8"/>
      </x:patternFill>
    </x:fill>
    <x:fill>
      <x:patternFill patternType="solid">
        <x:fgColor rgb="FF152A3C"/>
      </x:patternFill>
    </x:fill>
    <x:fill>
      <x:patternFill patternType="solid">
        <x:fgColor rgb="FFFFF0D6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 wrapText="1"/>
    </x:xf>
    <x:xf numFmtId="0" fontId="22" fillId="13" borderId="0" xfId="0" applyNumberFormat="1" applyFont="1" applyFill="1" applyBorder="1" applyAlignment="1">
      <x:alignment vertical="center" wrapText="1"/>
    </x:xf>
    <x:xf numFmtId="0" fontId="22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200" fontId="22" fillId="13" borderId="0" xfId="0" applyNumberFormat="1" applyFont="1" applyFill="1" applyBorder="1" applyAlignment="1">
      <x:alignment vertical="center" wrapText="1"/>
    </x:xf>
    <x:xf numFmtId="201" fontId="22" fillId="13" borderId="0" xfId="0" applyNumberFormat="1" applyFont="1" applyFill="1" applyBorder="1" applyAlignment="1">
      <x:alignment vertical="center" wrapText="1"/>
    </x:xf>
    <x:xf numFmtId="0" fontId="22" fillId="15" borderId="0" xfId="0" applyNumberFormat="1" applyFont="1" applyFill="1" applyBorder="1" applyAlignment="1">
      <x:alignment vertical="center" wrapText="1"/>
    </x:xf>
    <x:xf numFmtId="0" fontId="22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3" fillId="17" borderId="0" xfId="0" applyNumberFormat="1" applyFont="1" applyFill="1" applyBorder="1"/>
    <x:xf numFmtId="0" fontId="24" fillId="17" borderId="0" xfId="0" applyNumberFormat="1" applyFont="1" applyFill="1" applyBorder="1"/>
    <x:xf numFmtId="0" fontId="22" fillId="17" borderId="0" xfId="0" applyNumberFormat="1" applyFont="1" applyFill="1" applyBorder="1"/>
    <x:xf numFmtId="0" fontId="22" fillId="17" borderId="0" xfId="0" applyNumberFormat="1" applyFont="1" applyFill="1" applyBorder="1" applyAlignment="1">
      <x:alignment vertical="center"/>
    </x:xf>
    <x:xf numFmtId="0" fontId="22" fillId="17" borderId="0" xfId="0" applyNumberFormat="1" applyFont="1" applyFill="1" applyBorder="1" applyAlignment="1">
      <x:alignment vertical="center" wrapText="1"/>
    </x:xf>
    <x:xf numFmtId="0" fontId="22" fillId="18" borderId="0" xfId="0" applyNumberFormat="1" applyFont="1" applyFill="1" applyBorder="1" applyAlignment="1">
      <x:alignment vertical="center" wrapText="1"/>
    </x:xf>
    <x:xf numFmtId="0" fontId="23" fillId="14" borderId="0" xfId="0" applyNumberFormat="1" applyFont="1" applyFill="1" applyBorder="1"/>
    <x:xf numFmtId="0" fontId="25" fillId="14" borderId="0" xfId="0" applyNumberFormat="1" applyFont="1" applyFill="1" applyBorder="1"/>
    <x:xf numFmtId="0" fontId="23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5392419d84ed8" /><Relationship Type="http://schemas.openxmlformats.org/officeDocument/2006/relationships/theme" Target="/xl/theme/theme1.xml" Id="R4769f6a06b1d498a" /><Relationship Type="http://schemas.openxmlformats.org/officeDocument/2006/relationships/sharedStrings" Target="/xl/sharedStrings.xml" Id="R5d88a882a5e64dc4" /><Relationship Type="http://schemas.openxmlformats.org/officeDocument/2006/relationships/worksheet" Target="/xl/worksheets/sheet1.xml" Id="R12128722d0964676" /><Relationship Type="http://schemas.openxmlformats.org/officeDocument/2006/relationships/worksheet" Target="/xl/worksheets/sheet2.xml" Id="R00e7d115c07342c7" /><Relationship Type="http://schemas.openxmlformats.org/officeDocument/2006/relationships/worksheet" Target="/xl/worksheets/sheet3.xml" Id="R76c4dd47bd9541d8" /><Relationship Type="http://schemas.openxmlformats.org/officeDocument/2006/relationships/worksheet" Target="/xl/worksheets/sheet4.xml" Id="R6d0acfffe2ff4302" /><Relationship Type="http://schemas.openxmlformats.org/officeDocument/2006/relationships/worksheet" Target="/xl/worksheets/sheet5.xml" Id="Rb42021f0632e4978" /><Relationship Type="http://schemas.openxmlformats.org/officeDocument/2006/relationships/worksheet" Target="/xl/worksheets/sheet6.xml" Id="R800456f3b8b249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bb31ec2cc64d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Completed service by weekday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Deliveries</c:v>
          </c:tx>
          <c:spPr>
            <a:solidFill xmlns:a="http://schemas.openxmlformats.org/drawingml/2006/main">
              <a:srgbClr val="159DBA"/>
            </a:solidFill>
            <a:ln xmlns:a="http://schemas.openxmlformats.org/drawingml/2006/main" w="28575">
              <a:solidFill>
                <a:srgbClr val="159DBA"/>
              </a:solidFill>
              <a:prstDash val="solid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Helpers'!$B$2:$B$8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Collections</c:v>
          </c:tx>
          <c:spPr>
            <a:solidFill xmlns:a="http://schemas.openxmlformats.org/drawingml/2006/main">
              <a:srgbClr val="4C956C"/>
            </a:solidFill>
            <a:ln xmlns:a="http://schemas.openxmlformats.org/drawingml/2006/main" w="19050">
              <a:solidFill>
                <a:srgbClr val="4C956C"/>
              </a:solidFill>
              <a:prstDash val="dash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Helpers'!$C$2:$C$8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Completed payload tasks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bb31ec2cc64d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WeekdayReview" displayName="WeekdayReview" ref="A30:N104" headerRowCount="1" totalsRowCount="0" totalsRowShown="0">
  <x:tableColumns count="14">
    <x:tableColumn id="1" name="Dept ID"/>
    <x:tableColumn id="2" name="Department"/>
    <x:tableColumn id="3" name="Service"/>
    <x:tableColumn id="4" name="Mon"/>
    <x:tableColumn id="5" name="Tue"/>
    <x:tableColumn id="6" name="Wed"/>
    <x:tableColumn id="7" name="Thu"/>
    <x:tableColumn id="8" name="Fri"/>
    <x:tableColumn id="9" name="Sat"/>
    <x:tableColumn id="10" name="Sun"/>
    <x:tableColumn id="11" name="Total"/>
    <x:tableColumn id="12" name="Current total"/>
    <x:tableColumn id="13" name="Difference"/>
    <x:tableColumn id="14" name="Owner 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erviceEvents" displayName="ServiceEvents" ref="A5:S233" headerRowCount="1" totalsRowCount="0" totalsRowShown="0">
  <x:tableColumns count="19">
    <x:tableColumn id="1" name="Task ID"/>
    <x:tableColumn id="2" name="Parent task"/>
    <x:tableColumn id="3" name="Department ID"/>
    <x:tableColumn id="4" name="Department"/>
    <x:tableColumn id="5" name="Level"/>
    <x:tableColumn id="6" name="Service"/>
    <x:tableColumn id="7" name="Trigger"/>
    <x:tableColumn id="8" name="Generated"/>
    <x:tableColumn id="9" name="Actual service time"/>
    <x:tableColumn id="10" name="Weekday"/>
    <x:tableColumn id="11" name="In period"/>
    <x:tableColumn id="12" name="Status"/>
    <x:tableColumn id="13" name="Payload"/>
    <x:tableColumn id="14" name="AMR origin"/>
    <x:tableColumn id="15" name="AMR destination"/>
    <x:tableColumn id="16" name="Final destination"/>
    <x:tableColumn id="17" name="Service time basis"/>
    <x:tableColumn id="18" name="AMR handover"/>
    <x:tableColumn id="19" name="Generation det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epartmentDirectory" displayName="DepartmentDirectory" ref="A5:J50" headerRowCount="1" totalsRowCount="0" totalsRowShown="0">
  <x:tableColumns count="10">
    <x:tableColumn id="1" name="Department ID"/>
    <x:tableColumn id="2" name="Department"/>
    <x:tableColumn id="3" name="Level"/>
    <x:tableColumn id="4" name="Enabled"/>
    <x:tableColumn id="5" name="Category scope"/>
    <x:tableColumn id="6" name="Operating hours"/>
    <x:tableColumn id="7" name="Active days"/>
    <x:tableColumn id="8" name="Beds"/>
    <x:tableColumn id="9" name="Category locations"/>
    <x:tableColumn id="10" name="Shared AMR z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GenerationRules" displayName="GenerationRules" ref="A5:O42" headerRowCount="1" totalsRowCount="0" totalsRowShown="0">
  <x:tableColumns count="15">
    <x:tableColumn id="1" name="Department ID"/>
    <x:tableColumn id="2" name="Department"/>
    <x:tableColumn id="3" name="Rule ID"/>
    <x:tableColumn id="4" name="Mode"/>
    <x:tableColumn id="5" name="Payload"/>
    <x:tableColumn id="6" name="Schedule times"/>
    <x:tableColumn id="7" name="Active days"/>
    <x:tableColumn id="8" name="Alternate weeks"/>
    <x:tableColumn id="9" name="Timeframe"/>
    <x:tableColumn id="10" name="Threshold (m3)"/>
    <x:tableColumn id="11" name="Frequency / day"/>
    <x:tableColumn id="12" name="AMR origin"/>
    <x:tableColumn id="13" name="AMR destination"/>
    <x:tableColumn id="14" name="Return enabled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erviceTimetable" displayName="ServiceTimetable" ref="A5:AB81" headerRowCount="1" totalsRowCount="0" totalsRowShown="0">
  <x:tableColumns count="28">
    <x:tableColumn id="1" name="Date"/>
    <x:tableColumn id="2" name="Department"/>
    <x:tableColumn id="3" name="Event"/>
    <x:tableColumn id="4" name="Count"/>
    <x:tableColumn id="5" name="00:00"/>
    <x:tableColumn id="6" name="01:00"/>
    <x:tableColumn id="7" name="02:00"/>
    <x:tableColumn id="8" name="03:00"/>
    <x:tableColumn id="9" name="04:00"/>
    <x:tableColumn id="10" name="05:00"/>
    <x:tableColumn id="11" name="06:00"/>
    <x:tableColumn id="12" name="07:00"/>
    <x:tableColumn id="13" name="08:00"/>
    <x:tableColumn id="14" name="09:00"/>
    <x:tableColumn id="15" name="10:00"/>
    <x:tableColumn id="16" name="11:00"/>
    <x:tableColumn id="17" name="12:00"/>
    <x:tableColumn id="18" name="13:00"/>
    <x:tableColumn id="19" name="14:00"/>
    <x:tableColumn id="20" name="15:00"/>
    <x:tableColumn id="21" name="16:00"/>
    <x:tableColumn id="22" name="17:00"/>
    <x:tableColumn id="23" name="18:00"/>
    <x:tableColumn id="24" name="19:00"/>
    <x:tableColumn id="25" name="20:00"/>
    <x:tableColumn id="26" name="21:00"/>
    <x:tableColumn id="27" name="22:00"/>
    <x:tableColumn id="28" name="23:0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f2f97e82c74024" /><Relationship Type="http://schemas.openxmlformats.org/officeDocument/2006/relationships/table" Target="/xl/tables/table1.xml" Id="Rc8eba063378145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ffdfc6d6f942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9bce8c178942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845a26ad8949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0ca0b42eae4cc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13" style="27" hidden="0" customWidth="1"/>
    <x:col min="2" max="2" width="35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5" hidden="0" customWidth="1"/>
    <x:col min="13" max="13" width="14" hidden="0" customWidth="1"/>
    <x:col min="14" max="14" width="38" hidden="0" customWidth="1"/>
  </x:cols>
  <x:sheetData>
    <x:row r="1" ht="22" customHeight="1">
      <x:c r="A1" s="103"/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</x:row>
    <x:row r="2" ht="22" customHeight="1">
      <x:c r="A2" s="104" t="str">
        <x:v>Stores | Department service review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/>
      <x:c r="P2"/>
      <x:c r="Q2"/>
    </x:row>
    <x:row r="3" ht="22" customHeight="1">
      <x:c r="A3" s="103" t="str">
        <x:v>2026-01-01 05:00:00 to 2026-01-08 05:00:00 (end excluded) | Category owner to confirm</x:v>
      </x:c>
      <x:c r="B3" s="103"/>
      <x:c r="C3" s="103"/>
      <x:c r="D3" s="103"/>
      <x:c r="E3" s="103"/>
      <x:c r="F3" s="103"/>
      <x:c r="G3" s="103"/>
      <x:c r="H3" s="103"/>
      <x:c r="I3" s="103"/>
      <x:c r="J3" s="103"/>
      <x:c r="K3" s="103"/>
      <x:c r="L3" s="103"/>
      <x:c r="M3" s="103"/>
      <x:c r="N3" s="103"/>
      <x:c r="O3"/>
      <x:c r="P3"/>
      <x:c r="Q3"/>
    </x:row>
    <x:row r="4" ht="22" customHeight="1">
      <x:c r="A4" s="103" t="str">
        <x:v>SIMULATED SERVICE  |  Category files are separate. Current-service inputs are amber and initially blank.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  <x:c r="O4"/>
      <x:c r="P4"/>
      <x:c r="Q4"/>
    </x:row>
    <x:row r="5" ht="22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/>
      <x:c r="P5"/>
      <x:c r="Q5"/>
    </x:row>
    <x:row r="6" ht="22" customHeight="1">
      <x:c r="A6" s="103" t="str">
        <x:v>DELIVERIES</x:v>
      </x:c>
      <x:c r="B6" s="103"/>
      <x:c r="C6" s="103"/>
      <x:c r="D6" s="103" t="str">
        <x:v>COLLECTIONS</x:v>
      </x:c>
      <x:c r="E6" s="103"/>
      <x:c r="F6" s="103"/>
      <x:c r="G6" s="103" t="str">
        <x:v>DEPARTMENTS IN SCOPE</x:v>
      </x:c>
      <x:c r="H6" s="103"/>
      <x:c r="I6" s="103"/>
      <x:c r="J6" s="103"/>
      <x:c r="K6" s="103" t="str">
        <x:v>NOT COMPLETED</x:v>
      </x:c>
      <x:c r="L6" s="103"/>
      <x:c r="M6" s="103"/>
      <x:c r="N6" s="103"/>
      <x:c r="O6"/>
      <x:c r="P6"/>
      <x:c r="Q6"/>
    </x:row>
    <x:row r="7" ht="22" customHeight="1">
      <x:c r="A7" s="110" t="n">
        <x:f>SUMIF(C31:C104,"Delivery",K31:K104)</x:f>
        <x:v>114</x:v>
      </x:c>
      <x:c r="B7" s="110"/>
      <x:c r="C7" s="110"/>
      <x:c r="D7" s="110" t="n">
        <x:f>SUMIF(C31:C104,"Collection",K31:K104)</x:f>
        <x:v>114</x:v>
      </x:c>
      <x:c r="E7" s="110"/>
      <x:c r="F7" s="110"/>
      <x:c r="G7" s="110" t="n">
        <x:v>37</x:v>
      </x:c>
      <x:c r="H7" s="110"/>
      <x:c r="I7" s="110"/>
      <x:c r="J7" s="110"/>
      <x:c r="K7" s="110" t="n">
        <x:v>0</x:v>
      </x:c>
      <x:c r="L7" s="110"/>
      <x:c r="M7" s="110"/>
      <x:c r="N7" s="110"/>
      <x:c r="O7"/>
      <x:c r="P7"/>
      <x:c r="Q7"/>
    </x:row>
    <x:row r="8" ht="22" customHeight="1">
      <x:c r="A8" s="110"/>
      <x:c r="B8" s="110"/>
      <x:c r="C8" s="110"/>
      <x:c r="D8" s="110"/>
      <x:c r="E8" s="110"/>
      <x:c r="F8" s="110"/>
      <x:c r="G8" s="110"/>
      <x:c r="H8" s="110"/>
      <x:c r="I8" s="110"/>
      <x:c r="J8" s="110"/>
      <x:c r="K8" s="110"/>
      <x:c r="L8" s="110"/>
      <x:c r="M8" s="110"/>
      <x:c r="N8" s="110"/>
      <x:c r="O8"/>
      <x:c r="P8"/>
      <x:c r="Q8"/>
    </x:row>
    <x:row r="9" ht="22" customHeight="1">
      <x:c r="A9" s="103"/>
      <x:c r="B9" s="103"/>
      <x:c r="C9" s="103"/>
      <x:c r="D9" s="103"/>
      <x:c r="E9" s="103"/>
      <x:c r="F9" s="103"/>
      <x:c r="G9" s="103"/>
      <x:c r="H9" s="103"/>
      <x:c r="I9" s="103"/>
      <x:c r="J9" s="103"/>
      <x:c r="K9" s="103"/>
      <x:c r="L9" s="103"/>
      <x:c r="M9" s="103"/>
      <x:c r="N9" s="103"/>
      <x:c r="O9"/>
      <x:c r="P9"/>
      <x:c r="Q9"/>
    </x:row>
    <x:row r="10" ht="22" customHeight="1">
      <x:c r="A10" s="103"/>
      <x:c r="B10" s="103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  <x:c r="M10" s="103"/>
      <x:c r="N10" s="103"/>
      <x:c r="O10"/>
      <x:c r="P10"/>
      <x:c r="Q10"/>
    </x:row>
    <x:row r="11" ht="22" customHeight="1">
      <x:c r="A11" s="103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/>
      <x:c r="P11"/>
      <x:c r="Q11"/>
    </x:row>
    <x:row r="12" ht="22" customHeight="1">
      <x:c r="A12" s="103"/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/>
      <x:c r="P12"/>
      <x:c r="Q12"/>
    </x:row>
    <x:row r="13" ht="22" customHeight="1">
      <x:c r="A13" s="103"/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3"/>
      <x:c r="M13" s="103"/>
      <x:c r="N13" s="103"/>
      <x:c r="O13"/>
      <x:c r="P13"/>
      <x:c r="Q13"/>
    </x:row>
    <x:row r="14" ht="22" customHeight="1">
      <x:c r="A14" s="103"/>
      <x:c r="B14" s="103"/>
      <x:c r="C14" s="103"/>
      <x:c r="D14" s="103"/>
      <x:c r="E14" s="103"/>
      <x:c r="F14" s="103"/>
      <x:c r="G14" s="103"/>
      <x:c r="H14" s="103"/>
      <x:c r="I14" s="103"/>
      <x:c r="J14" s="103"/>
      <x:c r="K14" s="103"/>
      <x:c r="L14" s="103"/>
      <x:c r="M14" s="103"/>
      <x:c r="N14" s="103"/>
      <x:c r="O14"/>
      <x:c r="P14"/>
      <x:c r="Q14"/>
    </x:row>
    <x:row r="15" ht="22" customHeight="1">
      <x:c r="A15" s="103"/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/>
      <x:c r="P15"/>
      <x:c r="Q15"/>
    </x:row>
    <x:row r="16" ht="22" customHeight="1">
      <x:c r="A16" s="103"/>
      <x:c r="B16" s="103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/>
      <x:c r="P16"/>
      <x:c r="Q16"/>
    </x:row>
    <x:row r="17" ht="22" customHeight="1">
      <x:c r="A17" s="103"/>
      <x:c r="B17" s="103"/>
      <x:c r="C17" s="103"/>
      <x:c r="D17" s="103"/>
      <x:c r="E17" s="103"/>
      <x:c r="F17" s="103"/>
      <x:c r="G17" s="103"/>
      <x:c r="H17" s="103"/>
      <x:c r="I17" s="103"/>
      <x:c r="J17" s="103"/>
      <x:c r="K17" s="103"/>
      <x:c r="L17" s="103"/>
      <x:c r="M17" s="103"/>
      <x:c r="N17" s="103"/>
      <x:c r="O17"/>
      <x:c r="P17"/>
      <x:c r="Q17"/>
    </x:row>
    <x:row r="18" ht="22" customHeight="1">
      <x:c r="A18" s="103"/>
      <x:c r="B18" s="103"/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3"/>
      <x:c r="M18" s="103"/>
      <x:c r="N18" s="103"/>
      <x:c r="O18"/>
      <x:c r="P18"/>
      <x:c r="Q18"/>
    </x:row>
    <x:row r="19" ht="22" customHeight="1">
      <x:c r="A19" s="103"/>
      <x:c r="B19" s="103"/>
      <x:c r="C19" s="103"/>
      <x:c r="D19" s="103"/>
      <x:c r="E19" s="103"/>
      <x:c r="F19" s="103"/>
      <x:c r="G19" s="103"/>
      <x:c r="H19" s="103"/>
      <x:c r="I19" s="103"/>
      <x:c r="J19" s="103"/>
      <x:c r="K19" s="103"/>
      <x:c r="L19" s="103"/>
      <x:c r="M19" s="103"/>
      <x:c r="N19" s="103"/>
      <x:c r="O19"/>
      <x:c r="P19"/>
      <x:c r="Q19"/>
    </x:row>
    <x:row r="20" ht="22" customHeight="1">
      <x:c r="A20" s="103"/>
      <x:c r="B20" s="103"/>
      <x:c r="C20" s="103"/>
      <x:c r="D20" s="103"/>
      <x:c r="E20" s="103"/>
      <x:c r="F20" s="103"/>
      <x:c r="G20" s="103"/>
      <x:c r="H20" s="103"/>
      <x:c r="I20" s="103"/>
      <x:c r="J20" s="103"/>
      <x:c r="K20" s="103"/>
      <x:c r="L20" s="103"/>
      <x:c r="M20" s="103"/>
      <x:c r="N20" s="103"/>
      <x:c r="O20"/>
      <x:c r="P20"/>
      <x:c r="Q20"/>
    </x:row>
    <x:row r="21" ht="22" customHeight="1">
      <x:c r="A21" s="103"/>
      <x:c r="B21" s="103"/>
      <x:c r="C21" s="103"/>
      <x:c r="D21" s="103"/>
      <x:c r="E21" s="103"/>
      <x:c r="F21" s="103"/>
      <x:c r="G21" s="103"/>
      <x:c r="H21" s="103"/>
      <x:c r="I21" s="103"/>
      <x:c r="J21" s="103"/>
      <x:c r="K21" s="103"/>
      <x:c r="L21" s="103"/>
      <x:c r="M21" s="103"/>
      <x:c r="N21" s="103"/>
      <x:c r="O21"/>
      <x:c r="P21"/>
      <x:c r="Q21"/>
    </x:row>
    <x:row r="22" ht="22" customHeight="1">
      <x:c r="A22" s="103"/>
      <x:c r="B22" s="103"/>
      <x:c r="C22" s="103"/>
      <x:c r="D22" s="103"/>
      <x:c r="E22" s="103"/>
      <x:c r="F22" s="103"/>
      <x:c r="G22" s="103"/>
      <x:c r="H22" s="103"/>
      <x:c r="I22" s="103"/>
      <x:c r="J22" s="103"/>
      <x:c r="K22" s="103"/>
      <x:c r="L22" s="103"/>
      <x:c r="M22" s="103"/>
      <x:c r="N22" s="103"/>
      <x:c r="O22"/>
      <x:c r="P22"/>
      <x:c r="Q22"/>
    </x:row>
    <x:row r="23" ht="22" customHeight="1">
      <x:c r="A23" s="103"/>
      <x:c r="B23" s="103"/>
      <x:c r="C23" s="103"/>
      <x:c r="D23" s="103"/>
      <x:c r="E23" s="103"/>
      <x:c r="F23" s="103"/>
      <x:c r="G23" s="103"/>
      <x:c r="H23" s="103"/>
      <x:c r="I23" s="103"/>
      <x:c r="J23" s="103"/>
      <x:c r="K23" s="103"/>
      <x:c r="L23" s="103"/>
      <x:c r="M23" s="103"/>
      <x:c r="N23" s="103"/>
      <x:c r="O23"/>
      <x:c r="P23"/>
      <x:c r="Q23"/>
    </x:row>
    <x:row r="24" ht="22" customHeight="1">
      <x:c r="A24" s="103"/>
      <x:c r="B24" s="103"/>
      <x:c r="C24" s="103"/>
      <x:c r="D24" s="103"/>
      <x:c r="E24" s="103"/>
      <x:c r="F24" s="103"/>
      <x:c r="G24" s="103"/>
      <x:c r="H24" s="103"/>
      <x:c r="I24" s="103"/>
      <x:c r="J24" s="103"/>
      <x:c r="K24" s="103"/>
      <x:c r="L24" s="103"/>
      <x:c r="M24" s="103"/>
      <x:c r="N24" s="103"/>
      <x:c r="O24"/>
      <x:c r="P24"/>
      <x:c r="Q24"/>
    </x:row>
    <x:row r="25" ht="22" customHeight="1">
      <x:c r="A25" s="103"/>
      <x:c r="B25" s="103"/>
      <x:c r="C25" s="103"/>
      <x:c r="D25" s="103"/>
      <x:c r="E25" s="103"/>
      <x:c r="F25" s="103"/>
      <x:c r="G25" s="103"/>
      <x:c r="H25" s="103"/>
      <x:c r="I25" s="103"/>
      <x:c r="J25" s="103"/>
      <x:c r="K25" s="103"/>
      <x:c r="L25" s="103"/>
      <x:c r="M25" s="103"/>
      <x:c r="N25" s="103"/>
      <x:c r="O25"/>
      <x:c r="P25"/>
      <x:c r="Q25"/>
    </x:row>
    <x:row r="26" ht="22" customHeight="1">
      <x:c r="A26" s="111" t="str">
        <x:v>Weekday coverage: Mon 24 h | Tue 24 h | Wed 24 h | Thu 24 h | Fri 24 h | Sat 24 h | Sun 24 h. Totals are counts across this interval, not daily averages.</x:v>
      </x:c>
      <x:c r="B26" s="111"/>
      <x:c r="C26" s="111"/>
      <x:c r="D26" s="111"/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/>
      <x:c r="P26"/>
      <x:c r="Q26"/>
    </x:row>
    <x:row r="27" ht="22" customHeight="1">
      <x:c r="A27" s="111"/>
      <x:c r="B27" s="111"/>
      <x:c r="C27" s="111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/>
      <x:c r="P27"/>
      <x:c r="Q27"/>
    </x:row>
    <x:row r="28" ht="22" customHeight="1">
      <x:c r="A28" s="103"/>
      <x:c r="B28" s="103"/>
      <x:c r="C28" s="103"/>
      <x:c r="D28" s="103"/>
      <x:c r="E28" s="103"/>
      <x:c r="F28" s="103"/>
      <x:c r="G28" s="103"/>
      <x:c r="H28" s="103"/>
      <x:c r="I28" s="103"/>
      <x:c r="J28" s="103"/>
      <x:c r="K28" s="103"/>
      <x:c r="L28" s="103"/>
      <x:c r="M28" s="103"/>
      <x:c r="N28" s="103"/>
      <x:c r="O28"/>
      <x:c r="P28"/>
      <x:c r="Q28"/>
    </x:row>
    <x:row r="29" ht="22" customHeight="1">
      <x:c r="A29" s="103"/>
      <x:c r="B29" s="103"/>
      <x:c r="C29" s="103"/>
      <x:c r="D29" s="103"/>
      <x:c r="E29" s="103"/>
      <x:c r="F29" s="103"/>
      <x:c r="G29" s="103"/>
      <x:c r="H29" s="103"/>
      <x:c r="I29" s="103"/>
      <x:c r="J29" s="103"/>
      <x:c r="K29" s="103"/>
      <x:c r="L29" s="103"/>
      <x:c r="M29" s="103"/>
      <x:c r="N29" s="103"/>
      <x:c r="O29"/>
      <x:c r="P29"/>
      <x:c r="Q29"/>
    </x:row>
    <x:row r="30" ht="32" customHeight="1">
      <x:c r="A30" s="97" t="str">
        <x:v>Dept ID</x:v>
      </x:c>
      <x:c r="B30" s="97" t="str">
        <x:v>Department</x:v>
      </x:c>
      <x:c r="C30" s="97" t="str">
        <x:v>Service</x:v>
      </x:c>
      <x:c r="D30" s="97" t="str">
        <x:v>Mon</x:v>
      </x:c>
      <x:c r="E30" s="97" t="str">
        <x:v>Tue</x:v>
      </x:c>
      <x:c r="F30" s="97" t="str">
        <x:v>Wed</x:v>
      </x:c>
      <x:c r="G30" s="97" t="str">
        <x:v>Thu</x:v>
      </x:c>
      <x:c r="H30" s="97" t="str">
        <x:v>Fri</x:v>
      </x:c>
      <x:c r="I30" s="97" t="str">
        <x:v>Sat</x:v>
      </x:c>
      <x:c r="J30" s="97" t="str">
        <x:v>Sun</x:v>
      </x:c>
      <x:c r="K30" s="97" t="str">
        <x:v>Total</x:v>
      </x:c>
      <x:c r="L30" s="97" t="str">
        <x:v>Current total</x:v>
      </x:c>
      <x:c r="M30" s="97" t="str">
        <x:v>Difference</x:v>
      </x:c>
      <x:c r="N30" s="97" t="str">
        <x:v>Owner comments</x:v>
      </x:c>
      <x:c r="O30"/>
      <x:c r="P30"/>
      <x:c r="Q30"/>
    </x:row>
    <x:row r="31" ht="35" customHeight="1">
      <x:c r="A31" s="95" t="str">
        <x:v>D31</x:v>
      </x:c>
      <x:c r="B31" s="95" t="str">
        <x:v>Adult Inpatients 1</x:v>
      </x:c>
      <x:c r="C31" s="95" t="str">
        <x:v>Delivery</x:v>
      </x:c>
      <x:c r="D31" s="95" t="n">
        <x:f>COUNTIFS('Data &amp; Targets'!$C$6:$C$233,A31,'Data &amp; Targets'!$F$6:$F$233,C31,'Data &amp; Targets'!$J$6:$J$233,D$30,'Data &amp; Targets'!$K$6:$K$233,1)</x:f>
        <x:v>0</x:v>
      </x:c>
      <x:c r="E31" s="95" t="n">
        <x:f>COUNTIFS('Data &amp; Targets'!$C$6:$C$233,A31,'Data &amp; Targets'!$F$6:$F$233,C31,'Data &amp; Targets'!$J$6:$J$233,E$30,'Data &amp; Targets'!$K$6:$K$233,1)</x:f>
        <x:v>0</x:v>
      </x:c>
      <x:c r="F31" s="95" t="n">
        <x:f>COUNTIFS('Data &amp; Targets'!$C$6:$C$233,A31,'Data &amp; Targets'!$F$6:$F$233,C31,'Data &amp; Targets'!$J$6:$J$233,F$30,'Data &amp; Targets'!$K$6:$K$233,1)</x:f>
        <x:v>0</x:v>
      </x:c>
      <x:c r="G31" s="95" t="n">
        <x:f>COUNTIFS('Data &amp; Targets'!$C$6:$C$233,A31,'Data &amp; Targets'!$F$6:$F$233,C31,'Data &amp; Targets'!$J$6:$J$233,G$30,'Data &amp; Targets'!$K$6:$K$233,1)</x:f>
        <x:v>3</x:v>
      </x:c>
      <x:c r="H31" s="95" t="n">
        <x:f>COUNTIFS('Data &amp; Targets'!$C$6:$C$233,A31,'Data &amp; Targets'!$F$6:$F$233,C31,'Data &amp; Targets'!$J$6:$J$233,H$30,'Data &amp; Targets'!$K$6:$K$233,1)</x:f>
        <x:v>0</x:v>
      </x:c>
      <x:c r="I31" s="95" t="n">
        <x:f>COUNTIFS('Data &amp; Targets'!$C$6:$C$233,A31,'Data &amp; Targets'!$F$6:$F$233,C31,'Data &amp; Targets'!$J$6:$J$233,I$30,'Data &amp; Targets'!$K$6:$K$233,1)</x:f>
        <x:v>0</x:v>
      </x:c>
      <x:c r="J31" s="95" t="n">
        <x:f>COUNTIFS('Data &amp; Targets'!$C$6:$C$233,A31,'Data &amp; Targets'!$F$6:$F$233,C31,'Data &amp; Targets'!$J$6:$J$233,J$30,'Data &amp; Targets'!$K$6:$K$233,1)</x:f>
        <x:v>0</x:v>
      </x:c>
      <x:c r="K31" s="95" t="n">
        <x:f>SUM(D31:J31)</x:f>
        <x:v>3</x:v>
      </x:c>
      <x:c r="L31" s="108"/>
      <x:c r="M31" s="95" t="str">
        <x:f>IF(L31="","",K31-L31)</x:f>
      </x:c>
      <x:c r="N31" s="108"/>
      <x:c r="O31"/>
      <x:c r="P31"/>
      <x:c r="Q31"/>
    </x:row>
    <x:row r="32" ht="35" customHeight="1">
      <x:c r="A32" s="95" t="str">
        <x:v>D31</x:v>
      </x:c>
      <x:c r="B32" s="95" t="str">
        <x:v>Adult Inpatients 1</x:v>
      </x:c>
      <x:c r="C32" s="95" t="str">
        <x:v>Collection</x:v>
      </x:c>
      <x:c r="D32" s="95" t="n">
        <x:f>COUNTIFS('Data &amp; Targets'!$C$6:$C$233,A32,'Data &amp; Targets'!$F$6:$F$233,C32,'Data &amp; Targets'!$J$6:$J$233,D$30,'Data &amp; Targets'!$K$6:$K$233,1)</x:f>
        <x:v>0</x:v>
      </x:c>
      <x:c r="E32" s="95" t="n">
        <x:f>COUNTIFS('Data &amp; Targets'!$C$6:$C$233,A32,'Data &amp; Targets'!$F$6:$F$233,C32,'Data &amp; Targets'!$J$6:$J$233,E$30,'Data &amp; Targets'!$K$6:$K$233,1)</x:f>
        <x:v>0</x:v>
      </x:c>
      <x:c r="F32" s="95" t="n">
        <x:f>COUNTIFS('Data &amp; Targets'!$C$6:$C$233,A32,'Data &amp; Targets'!$F$6:$F$233,C32,'Data &amp; Targets'!$J$6:$J$233,F$30,'Data &amp; Targets'!$K$6:$K$233,1)</x:f>
        <x:v>0</x:v>
      </x:c>
      <x:c r="G32" s="95" t="n">
        <x:f>COUNTIFS('Data &amp; Targets'!$C$6:$C$233,A32,'Data &amp; Targets'!$F$6:$F$233,C32,'Data &amp; Targets'!$J$6:$J$233,G$30,'Data &amp; Targets'!$K$6:$K$233,1)</x:f>
        <x:v>3</x:v>
      </x:c>
      <x:c r="H32" s="95" t="n">
        <x:f>COUNTIFS('Data &amp; Targets'!$C$6:$C$233,A32,'Data &amp; Targets'!$F$6:$F$233,C32,'Data &amp; Targets'!$J$6:$J$233,H$30,'Data &amp; Targets'!$K$6:$K$233,1)</x:f>
        <x:v>0</x:v>
      </x:c>
      <x:c r="I32" s="95" t="n">
        <x:f>COUNTIFS('Data &amp; Targets'!$C$6:$C$233,A32,'Data &amp; Targets'!$F$6:$F$233,C32,'Data &amp; Targets'!$J$6:$J$233,I$30,'Data &amp; Targets'!$K$6:$K$233,1)</x:f>
        <x:v>0</x:v>
      </x:c>
      <x:c r="J32" s="95" t="n">
        <x:f>COUNTIFS('Data &amp; Targets'!$C$6:$C$233,A32,'Data &amp; Targets'!$F$6:$F$233,C32,'Data &amp; Targets'!$J$6:$J$233,J$30,'Data &amp; Targets'!$K$6:$K$233,1)</x:f>
        <x:v>0</x:v>
      </x:c>
      <x:c r="K32" s="95" t="n">
        <x:f>SUM(D32:J32)</x:f>
        <x:v>3</x:v>
      </x:c>
      <x:c r="L32" s="108"/>
      <x:c r="M32" s="95" t="str">
        <x:f>IF(L32="","",K32-L32)</x:f>
      </x:c>
      <x:c r="N32" s="108"/>
      <x:c r="O32"/>
      <x:c r="P32"/>
      <x:c r="Q32"/>
    </x:row>
    <x:row r="33" ht="35" customHeight="1">
      <x:c r="A33" s="95" t="str">
        <x:v>D32</x:v>
      </x:c>
      <x:c r="B33" s="95" t="str">
        <x:v>Adult Inpatients 2</x:v>
      </x:c>
      <x:c r="C33" s="95" t="str">
        <x:v>Delivery</x:v>
      </x:c>
      <x:c r="D33" s="95" t="n">
        <x:f>COUNTIFS('Data &amp; Targets'!$C$6:$C$233,A33,'Data &amp; Targets'!$F$6:$F$233,C33,'Data &amp; Targets'!$J$6:$J$233,D$30,'Data &amp; Targets'!$K$6:$K$233,1)</x:f>
        <x:v>0</x:v>
      </x:c>
      <x:c r="E33" s="95" t="n">
        <x:f>COUNTIFS('Data &amp; Targets'!$C$6:$C$233,A33,'Data &amp; Targets'!$F$6:$F$233,C33,'Data &amp; Targets'!$J$6:$J$233,E$30,'Data &amp; Targets'!$K$6:$K$233,1)</x:f>
        <x:v>0</x:v>
      </x:c>
      <x:c r="F33" s="95" t="n">
        <x:f>COUNTIFS('Data &amp; Targets'!$C$6:$C$233,A33,'Data &amp; Targets'!$F$6:$F$233,C33,'Data &amp; Targets'!$J$6:$J$233,F$30,'Data &amp; Targets'!$K$6:$K$233,1)</x:f>
        <x:v>0</x:v>
      </x:c>
      <x:c r="G33" s="95" t="n">
        <x:f>COUNTIFS('Data &amp; Targets'!$C$6:$C$233,A33,'Data &amp; Targets'!$F$6:$F$233,C33,'Data &amp; Targets'!$J$6:$J$233,G$30,'Data &amp; Targets'!$K$6:$K$233,1)</x:f>
        <x:v>0</x:v>
      </x:c>
      <x:c r="H33" s="95" t="n">
        <x:f>COUNTIFS('Data &amp; Targets'!$C$6:$C$233,A33,'Data &amp; Targets'!$F$6:$F$233,C33,'Data &amp; Targets'!$J$6:$J$233,H$30,'Data &amp; Targets'!$K$6:$K$233,1)</x:f>
        <x:v>3</x:v>
      </x:c>
      <x:c r="I33" s="95" t="n">
        <x:f>COUNTIFS('Data &amp; Targets'!$C$6:$C$233,A33,'Data &amp; Targets'!$F$6:$F$233,C33,'Data &amp; Targets'!$J$6:$J$233,I$30,'Data &amp; Targets'!$K$6:$K$233,1)</x:f>
        <x:v>0</x:v>
      </x:c>
      <x:c r="J33" s="95" t="n">
        <x:f>COUNTIFS('Data &amp; Targets'!$C$6:$C$233,A33,'Data &amp; Targets'!$F$6:$F$233,C33,'Data &amp; Targets'!$J$6:$J$233,J$30,'Data &amp; Targets'!$K$6:$K$233,1)</x:f>
        <x:v>0</x:v>
      </x:c>
      <x:c r="K33" s="95" t="n">
        <x:f>SUM(D33:J33)</x:f>
        <x:v>3</x:v>
      </x:c>
      <x:c r="L33" s="108"/>
      <x:c r="M33" s="95" t="str">
        <x:f>IF(L33="","",K33-L33)</x:f>
      </x:c>
      <x:c r="N33" s="108"/>
      <x:c r="O33"/>
      <x:c r="P33"/>
      <x:c r="Q33"/>
    </x:row>
    <x:row r="34" ht="35" customHeight="1">
      <x:c r="A34" s="95" t="str">
        <x:v>D32</x:v>
      </x:c>
      <x:c r="B34" s="95" t="str">
        <x:v>Adult Inpatients 2</x:v>
      </x:c>
      <x:c r="C34" s="95" t="str">
        <x:v>Collection</x:v>
      </x:c>
      <x:c r="D34" s="95" t="n">
        <x:f>COUNTIFS('Data &amp; Targets'!$C$6:$C$233,A34,'Data &amp; Targets'!$F$6:$F$233,C34,'Data &amp; Targets'!$J$6:$J$233,D$30,'Data &amp; Targets'!$K$6:$K$233,1)</x:f>
        <x:v>0</x:v>
      </x:c>
      <x:c r="E34" s="95" t="n">
        <x:f>COUNTIFS('Data &amp; Targets'!$C$6:$C$233,A34,'Data &amp; Targets'!$F$6:$F$233,C34,'Data &amp; Targets'!$J$6:$J$233,E$30,'Data &amp; Targets'!$K$6:$K$233,1)</x:f>
        <x:v>0</x:v>
      </x:c>
      <x:c r="F34" s="95" t="n">
        <x:f>COUNTIFS('Data &amp; Targets'!$C$6:$C$233,A34,'Data &amp; Targets'!$F$6:$F$233,C34,'Data &amp; Targets'!$J$6:$J$233,F$30,'Data &amp; Targets'!$K$6:$K$233,1)</x:f>
        <x:v>0</x:v>
      </x:c>
      <x:c r="G34" s="95" t="n">
        <x:f>COUNTIFS('Data &amp; Targets'!$C$6:$C$233,A34,'Data &amp; Targets'!$F$6:$F$233,C34,'Data &amp; Targets'!$J$6:$J$233,G$30,'Data &amp; Targets'!$K$6:$K$233,1)</x:f>
        <x:v>0</x:v>
      </x:c>
      <x:c r="H34" s="95" t="n">
        <x:f>COUNTIFS('Data &amp; Targets'!$C$6:$C$233,A34,'Data &amp; Targets'!$F$6:$F$233,C34,'Data &amp; Targets'!$J$6:$J$233,H$30,'Data &amp; Targets'!$K$6:$K$233,1)</x:f>
        <x:v>3</x:v>
      </x:c>
      <x:c r="I34" s="95" t="n">
        <x:f>COUNTIFS('Data &amp; Targets'!$C$6:$C$233,A34,'Data &amp; Targets'!$F$6:$F$233,C34,'Data &amp; Targets'!$J$6:$J$233,I$30,'Data &amp; Targets'!$K$6:$K$233,1)</x:f>
        <x:v>0</x:v>
      </x:c>
      <x:c r="J34" s="95" t="n">
        <x:f>COUNTIFS('Data &amp; Targets'!$C$6:$C$233,A34,'Data &amp; Targets'!$F$6:$F$233,C34,'Data &amp; Targets'!$J$6:$J$233,J$30,'Data &amp; Targets'!$K$6:$K$233,1)</x:f>
        <x:v>0</x:v>
      </x:c>
      <x:c r="K34" s="95" t="n">
        <x:f>SUM(D34:J34)</x:f>
        <x:v>3</x:v>
      </x:c>
      <x:c r="L34" s="108"/>
      <x:c r="M34" s="95" t="str">
        <x:f>IF(L34="","",K34-L34)</x:f>
      </x:c>
      <x:c r="N34" s="108"/>
      <x:c r="O34"/>
      <x:c r="P34"/>
      <x:c r="Q34"/>
    </x:row>
    <x:row r="35" ht="35" customHeight="1">
      <x:c r="A35" s="95" t="str">
        <x:v>D33</x:v>
      </x:c>
      <x:c r="B35" s="95" t="str">
        <x:v>Adult Inpatients 3</x:v>
      </x:c>
      <x:c r="C35" s="95" t="str">
        <x:v>Delivery</x:v>
      </x:c>
      <x:c r="D35" s="95" t="n">
        <x:f>COUNTIFS('Data &amp; Targets'!$C$6:$C$233,A35,'Data &amp; Targets'!$F$6:$F$233,C35,'Data &amp; Targets'!$J$6:$J$233,D$30,'Data &amp; Targets'!$K$6:$K$233,1)</x:f>
        <x:v>0</x:v>
      </x:c>
      <x:c r="E35" s="95" t="n">
        <x:f>COUNTIFS('Data &amp; Targets'!$C$6:$C$233,A35,'Data &amp; Targets'!$F$6:$F$233,C35,'Data &amp; Targets'!$J$6:$J$233,E$30,'Data &amp; Targets'!$K$6:$K$233,1)</x:f>
        <x:v>0</x:v>
      </x:c>
      <x:c r="F35" s="95" t="n">
        <x:f>COUNTIFS('Data &amp; Targets'!$C$6:$C$233,A35,'Data &amp; Targets'!$F$6:$F$233,C35,'Data &amp; Targets'!$J$6:$J$233,F$30,'Data &amp; Targets'!$K$6:$K$233,1)</x:f>
        <x:v>0</x:v>
      </x:c>
      <x:c r="G35" s="95" t="n">
        <x:f>COUNTIFS('Data &amp; Targets'!$C$6:$C$233,A35,'Data &amp; Targets'!$F$6:$F$233,C35,'Data &amp; Targets'!$J$6:$J$233,G$30,'Data &amp; Targets'!$K$6:$K$233,1)</x:f>
        <x:v>0</x:v>
      </x:c>
      <x:c r="H35" s="95" t="n">
        <x:f>COUNTIFS('Data &amp; Targets'!$C$6:$C$233,A35,'Data &amp; Targets'!$F$6:$F$233,C35,'Data &amp; Targets'!$J$6:$J$233,H$30,'Data &amp; Targets'!$K$6:$K$233,1)</x:f>
        <x:v>3</x:v>
      </x:c>
      <x:c r="I35" s="95" t="n">
        <x:f>COUNTIFS('Data &amp; Targets'!$C$6:$C$233,A35,'Data &amp; Targets'!$F$6:$F$233,C35,'Data &amp; Targets'!$J$6:$J$233,I$30,'Data &amp; Targets'!$K$6:$K$233,1)</x:f>
        <x:v>0</x:v>
      </x:c>
      <x:c r="J35" s="95" t="n">
        <x:f>COUNTIFS('Data &amp; Targets'!$C$6:$C$233,A35,'Data &amp; Targets'!$F$6:$F$233,C35,'Data &amp; Targets'!$J$6:$J$233,J$30,'Data &amp; Targets'!$K$6:$K$233,1)</x:f>
        <x:v>0</x:v>
      </x:c>
      <x:c r="K35" s="95" t="n">
        <x:f>SUM(D35:J35)</x:f>
        <x:v>3</x:v>
      </x:c>
      <x:c r="L35" s="108"/>
      <x:c r="M35" s="95" t="str">
        <x:f>IF(L35="","",K35-L35)</x:f>
      </x:c>
      <x:c r="N35" s="108"/>
      <x:c r="O35"/>
      <x:c r="P35"/>
      <x:c r="Q35"/>
    </x:row>
    <x:row r="36" ht="35" customHeight="1">
      <x:c r="A36" s="95" t="str">
        <x:v>D33</x:v>
      </x:c>
      <x:c r="B36" s="95" t="str">
        <x:v>Adult Inpatients 3</x:v>
      </x:c>
      <x:c r="C36" s="95" t="str">
        <x:v>Collection</x:v>
      </x:c>
      <x:c r="D36" s="95" t="n">
        <x:f>COUNTIFS('Data &amp; Targets'!$C$6:$C$233,A36,'Data &amp; Targets'!$F$6:$F$233,C36,'Data &amp; Targets'!$J$6:$J$233,D$30,'Data &amp; Targets'!$K$6:$K$233,1)</x:f>
        <x:v>0</x:v>
      </x:c>
      <x:c r="E36" s="95" t="n">
        <x:f>COUNTIFS('Data &amp; Targets'!$C$6:$C$233,A36,'Data &amp; Targets'!$F$6:$F$233,C36,'Data &amp; Targets'!$J$6:$J$233,E$30,'Data &amp; Targets'!$K$6:$K$233,1)</x:f>
        <x:v>0</x:v>
      </x:c>
      <x:c r="F36" s="95" t="n">
        <x:f>COUNTIFS('Data &amp; Targets'!$C$6:$C$233,A36,'Data &amp; Targets'!$F$6:$F$233,C36,'Data &amp; Targets'!$J$6:$J$233,F$30,'Data &amp; Targets'!$K$6:$K$233,1)</x:f>
        <x:v>0</x:v>
      </x:c>
      <x:c r="G36" s="95" t="n">
        <x:f>COUNTIFS('Data &amp; Targets'!$C$6:$C$233,A36,'Data &amp; Targets'!$F$6:$F$233,C36,'Data &amp; Targets'!$J$6:$J$233,G$30,'Data &amp; Targets'!$K$6:$K$233,1)</x:f>
        <x:v>0</x:v>
      </x:c>
      <x:c r="H36" s="95" t="n">
        <x:f>COUNTIFS('Data &amp; Targets'!$C$6:$C$233,A36,'Data &amp; Targets'!$F$6:$F$233,C36,'Data &amp; Targets'!$J$6:$J$233,H$30,'Data &amp; Targets'!$K$6:$K$233,1)</x:f>
        <x:v>3</x:v>
      </x:c>
      <x:c r="I36" s="95" t="n">
        <x:f>COUNTIFS('Data &amp; Targets'!$C$6:$C$233,A36,'Data &amp; Targets'!$F$6:$F$233,C36,'Data &amp; Targets'!$J$6:$J$233,I$30,'Data &amp; Targets'!$K$6:$K$233,1)</x:f>
        <x:v>0</x:v>
      </x:c>
      <x:c r="J36" s="95" t="n">
        <x:f>COUNTIFS('Data &amp; Targets'!$C$6:$C$233,A36,'Data &amp; Targets'!$F$6:$F$233,C36,'Data &amp; Targets'!$J$6:$J$233,J$30,'Data &amp; Targets'!$K$6:$K$233,1)</x:f>
        <x:v>0</x:v>
      </x:c>
      <x:c r="K36" s="95" t="n">
        <x:f>SUM(D36:J36)</x:f>
        <x:v>3</x:v>
      </x:c>
      <x:c r="L36" s="108"/>
      <x:c r="M36" s="95" t="str">
        <x:f>IF(L36="","",K36-L36)</x:f>
      </x:c>
      <x:c r="N36" s="108"/>
      <x:c r="O36"/>
      <x:c r="P36"/>
      <x:c r="Q36"/>
    </x:row>
    <x:row r="37" ht="35" customHeight="1">
      <x:c r="A37" s="95" t="str">
        <x:v>D34</x:v>
      </x:c>
      <x:c r="B37" s="95" t="str">
        <x:v>Adult Inpatients 4</x:v>
      </x:c>
      <x:c r="C37" s="95" t="str">
        <x:v>Delivery</x:v>
      </x:c>
      <x:c r="D37" s="95" t="n">
        <x:f>COUNTIFS('Data &amp; Targets'!$C$6:$C$233,A37,'Data &amp; Targets'!$F$6:$F$233,C37,'Data &amp; Targets'!$J$6:$J$233,D$30,'Data &amp; Targets'!$K$6:$K$233,1)</x:f>
        <x:v>0</x:v>
      </x:c>
      <x:c r="E37" s="95" t="n">
        <x:f>COUNTIFS('Data &amp; Targets'!$C$6:$C$233,A37,'Data &amp; Targets'!$F$6:$F$233,C37,'Data &amp; Targets'!$J$6:$J$233,E$30,'Data &amp; Targets'!$K$6:$K$233,1)</x:f>
        <x:v>0</x:v>
      </x:c>
      <x:c r="F37" s="95" t="n">
        <x:f>COUNTIFS('Data &amp; Targets'!$C$6:$C$233,A37,'Data &amp; Targets'!$F$6:$F$233,C37,'Data &amp; Targets'!$J$6:$J$233,F$30,'Data &amp; Targets'!$K$6:$K$233,1)</x:f>
        <x:v>0</x:v>
      </x:c>
      <x:c r="G37" s="95" t="n">
        <x:f>COUNTIFS('Data &amp; Targets'!$C$6:$C$233,A37,'Data &amp; Targets'!$F$6:$F$233,C37,'Data &amp; Targets'!$J$6:$J$233,G$30,'Data &amp; Targets'!$K$6:$K$233,1)</x:f>
        <x:v>0</x:v>
      </x:c>
      <x:c r="H37" s="95" t="n">
        <x:f>COUNTIFS('Data &amp; Targets'!$C$6:$C$233,A37,'Data &amp; Targets'!$F$6:$F$233,C37,'Data &amp; Targets'!$J$6:$J$233,H$30,'Data &amp; Targets'!$K$6:$K$233,1)</x:f>
        <x:v>3</x:v>
      </x:c>
      <x:c r="I37" s="95" t="n">
        <x:f>COUNTIFS('Data &amp; Targets'!$C$6:$C$233,A37,'Data &amp; Targets'!$F$6:$F$233,C37,'Data &amp; Targets'!$J$6:$J$233,I$30,'Data &amp; Targets'!$K$6:$K$233,1)</x:f>
        <x:v>0</x:v>
      </x:c>
      <x:c r="J37" s="95" t="n">
        <x:f>COUNTIFS('Data &amp; Targets'!$C$6:$C$233,A37,'Data &amp; Targets'!$F$6:$F$233,C37,'Data &amp; Targets'!$J$6:$J$233,J$30,'Data &amp; Targets'!$K$6:$K$233,1)</x:f>
        <x:v>0</x:v>
      </x:c>
      <x:c r="K37" s="95" t="n">
        <x:f>SUM(D37:J37)</x:f>
        <x:v>3</x:v>
      </x:c>
      <x:c r="L37" s="108"/>
      <x:c r="M37" s="95" t="str">
        <x:f>IF(L37="","",K37-L37)</x:f>
      </x:c>
      <x:c r="N37" s="108"/>
      <x:c r="O37"/>
      <x:c r="P37"/>
      <x:c r="Q37"/>
    </x:row>
    <x:row r="38" ht="35" customHeight="1">
      <x:c r="A38" s="95" t="str">
        <x:v>D34</x:v>
      </x:c>
      <x:c r="B38" s="95" t="str">
        <x:v>Adult Inpatients 4</x:v>
      </x:c>
      <x:c r="C38" s="95" t="str">
        <x:v>Collection</x:v>
      </x:c>
      <x:c r="D38" s="95" t="n">
        <x:f>COUNTIFS('Data &amp; Targets'!$C$6:$C$233,A38,'Data &amp; Targets'!$F$6:$F$233,C38,'Data &amp; Targets'!$J$6:$J$233,D$30,'Data &amp; Targets'!$K$6:$K$233,1)</x:f>
        <x:v>0</x:v>
      </x:c>
      <x:c r="E38" s="95" t="n">
        <x:f>COUNTIFS('Data &amp; Targets'!$C$6:$C$233,A38,'Data &amp; Targets'!$F$6:$F$233,C38,'Data &amp; Targets'!$J$6:$J$233,E$30,'Data &amp; Targets'!$K$6:$K$233,1)</x:f>
        <x:v>0</x:v>
      </x:c>
      <x:c r="F38" s="95" t="n">
        <x:f>COUNTIFS('Data &amp; Targets'!$C$6:$C$233,A38,'Data &amp; Targets'!$F$6:$F$233,C38,'Data &amp; Targets'!$J$6:$J$233,F$30,'Data &amp; Targets'!$K$6:$K$233,1)</x:f>
        <x:v>0</x:v>
      </x:c>
      <x:c r="G38" s="95" t="n">
        <x:f>COUNTIFS('Data &amp; Targets'!$C$6:$C$233,A38,'Data &amp; Targets'!$F$6:$F$233,C38,'Data &amp; Targets'!$J$6:$J$233,G$30,'Data &amp; Targets'!$K$6:$K$233,1)</x:f>
        <x:v>0</x:v>
      </x:c>
      <x:c r="H38" s="95" t="n">
        <x:f>COUNTIFS('Data &amp; Targets'!$C$6:$C$233,A38,'Data &amp; Targets'!$F$6:$F$233,C38,'Data &amp; Targets'!$J$6:$J$233,H$30,'Data &amp; Targets'!$K$6:$K$233,1)</x:f>
        <x:v>3</x:v>
      </x:c>
      <x:c r="I38" s="95" t="n">
        <x:f>COUNTIFS('Data &amp; Targets'!$C$6:$C$233,A38,'Data &amp; Targets'!$F$6:$F$233,C38,'Data &amp; Targets'!$J$6:$J$233,I$30,'Data &amp; Targets'!$K$6:$K$233,1)</x:f>
        <x:v>0</x:v>
      </x:c>
      <x:c r="J38" s="95" t="n">
        <x:f>COUNTIFS('Data &amp; Targets'!$C$6:$C$233,A38,'Data &amp; Targets'!$F$6:$F$233,C38,'Data &amp; Targets'!$J$6:$J$233,J$30,'Data &amp; Targets'!$K$6:$K$233,1)</x:f>
        <x:v>0</x:v>
      </x:c>
      <x:c r="K38" s="95" t="n">
        <x:f>SUM(D38:J38)</x:f>
        <x:v>3</x:v>
      </x:c>
      <x:c r="L38" s="108"/>
      <x:c r="M38" s="95" t="str">
        <x:f>IF(L38="","",K38-L38)</x:f>
      </x:c>
      <x:c r="N38" s="108"/>
      <x:c r="O38"/>
      <x:c r="P38"/>
      <x:c r="Q38"/>
    </x:row>
    <x:row r="39" ht="35" customHeight="1">
      <x:c r="A39" s="95" t="str">
        <x:v>D37</x:v>
      </x:c>
      <x:c r="B39" s="95" t="str">
        <x:v>Adult Inpatients 5</x:v>
      </x:c>
      <x:c r="C39" s="95" t="str">
        <x:v>Delivery</x:v>
      </x:c>
      <x:c r="D39" s="95" t="n">
        <x:f>COUNTIFS('Data &amp; Targets'!$C$6:$C$233,A39,'Data &amp; Targets'!$F$6:$F$233,C39,'Data &amp; Targets'!$J$6:$J$233,D$30,'Data &amp; Targets'!$K$6:$K$233,1)</x:f>
        <x:v>0</x:v>
      </x:c>
      <x:c r="E39" s="95" t="n">
        <x:f>COUNTIFS('Data &amp; Targets'!$C$6:$C$233,A39,'Data &amp; Targets'!$F$6:$F$233,C39,'Data &amp; Targets'!$J$6:$J$233,E$30,'Data &amp; Targets'!$K$6:$K$233,1)</x:f>
        <x:v>0</x:v>
      </x:c>
      <x:c r="F39" s="95" t="n">
        <x:f>COUNTIFS('Data &amp; Targets'!$C$6:$C$233,A39,'Data &amp; Targets'!$F$6:$F$233,C39,'Data &amp; Targets'!$J$6:$J$233,F$30,'Data &amp; Targets'!$K$6:$K$233,1)</x:f>
        <x:v>0</x:v>
      </x:c>
      <x:c r="G39" s="95" t="n">
        <x:f>COUNTIFS('Data &amp; Targets'!$C$6:$C$233,A39,'Data &amp; Targets'!$F$6:$F$233,C39,'Data &amp; Targets'!$J$6:$J$233,G$30,'Data &amp; Targets'!$K$6:$K$233,1)</x:f>
        <x:v>0</x:v>
      </x:c>
      <x:c r="H39" s="95" t="n">
        <x:f>COUNTIFS('Data &amp; Targets'!$C$6:$C$233,A39,'Data &amp; Targets'!$F$6:$F$233,C39,'Data &amp; Targets'!$J$6:$J$233,H$30,'Data &amp; Targets'!$K$6:$K$233,1)</x:f>
        <x:v>3</x:v>
      </x:c>
      <x:c r="I39" s="95" t="n">
        <x:f>COUNTIFS('Data &amp; Targets'!$C$6:$C$233,A39,'Data &amp; Targets'!$F$6:$F$233,C39,'Data &amp; Targets'!$J$6:$J$233,I$30,'Data &amp; Targets'!$K$6:$K$233,1)</x:f>
        <x:v>0</x:v>
      </x:c>
      <x:c r="J39" s="95" t="n">
        <x:f>COUNTIFS('Data &amp; Targets'!$C$6:$C$233,A39,'Data &amp; Targets'!$F$6:$F$233,C39,'Data &amp; Targets'!$J$6:$J$233,J$30,'Data &amp; Targets'!$K$6:$K$233,1)</x:f>
        <x:v>0</x:v>
      </x:c>
      <x:c r="K39" s="95" t="n">
        <x:f>SUM(D39:J39)</x:f>
        <x:v>3</x:v>
      </x:c>
      <x:c r="L39" s="108"/>
      <x:c r="M39" s="95" t="str">
        <x:f>IF(L39="","",K39-L39)</x:f>
      </x:c>
      <x:c r="N39" s="108"/>
      <x:c r="O39"/>
      <x:c r="P39"/>
      <x:c r="Q39"/>
    </x:row>
    <x:row r="40" ht="35" customHeight="1">
      <x:c r="A40" s="95" t="str">
        <x:v>D37</x:v>
      </x:c>
      <x:c r="B40" s="95" t="str">
        <x:v>Adult Inpatients 5</x:v>
      </x:c>
      <x:c r="C40" s="95" t="str">
        <x:v>Collection</x:v>
      </x:c>
      <x:c r="D40" s="95" t="n">
        <x:f>COUNTIFS('Data &amp; Targets'!$C$6:$C$233,A40,'Data &amp; Targets'!$F$6:$F$233,C40,'Data &amp; Targets'!$J$6:$J$233,D$30,'Data &amp; Targets'!$K$6:$K$233,1)</x:f>
        <x:v>0</x:v>
      </x:c>
      <x:c r="E40" s="95" t="n">
        <x:f>COUNTIFS('Data &amp; Targets'!$C$6:$C$233,A40,'Data &amp; Targets'!$F$6:$F$233,C40,'Data &amp; Targets'!$J$6:$J$233,E$30,'Data &amp; Targets'!$K$6:$K$233,1)</x:f>
        <x:v>0</x:v>
      </x:c>
      <x:c r="F40" s="95" t="n">
        <x:f>COUNTIFS('Data &amp; Targets'!$C$6:$C$233,A40,'Data &amp; Targets'!$F$6:$F$233,C40,'Data &amp; Targets'!$J$6:$J$233,F$30,'Data &amp; Targets'!$K$6:$K$233,1)</x:f>
        <x:v>0</x:v>
      </x:c>
      <x:c r="G40" s="95" t="n">
        <x:f>COUNTIFS('Data &amp; Targets'!$C$6:$C$233,A40,'Data &amp; Targets'!$F$6:$F$233,C40,'Data &amp; Targets'!$J$6:$J$233,G$30,'Data &amp; Targets'!$K$6:$K$233,1)</x:f>
        <x:v>0</x:v>
      </x:c>
      <x:c r="H40" s="95" t="n">
        <x:f>COUNTIFS('Data &amp; Targets'!$C$6:$C$233,A40,'Data &amp; Targets'!$F$6:$F$233,C40,'Data &amp; Targets'!$J$6:$J$233,H$30,'Data &amp; Targets'!$K$6:$K$233,1)</x:f>
        <x:v>3</x:v>
      </x:c>
      <x:c r="I40" s="95" t="n">
        <x:f>COUNTIFS('Data &amp; Targets'!$C$6:$C$233,A40,'Data &amp; Targets'!$F$6:$F$233,C40,'Data &amp; Targets'!$J$6:$J$233,I$30,'Data &amp; Targets'!$K$6:$K$233,1)</x:f>
        <x:v>0</x:v>
      </x:c>
      <x:c r="J40" s="95" t="n">
        <x:f>COUNTIFS('Data &amp; Targets'!$C$6:$C$233,A40,'Data &amp; Targets'!$F$6:$F$233,C40,'Data &amp; Targets'!$J$6:$J$233,J$30,'Data &amp; Targets'!$K$6:$K$233,1)</x:f>
        <x:v>0</x:v>
      </x:c>
      <x:c r="K40" s="95" t="n">
        <x:f>SUM(D40:J40)</x:f>
        <x:v>3</x:v>
      </x:c>
      <x:c r="L40" s="108"/>
      <x:c r="M40" s="95" t="str">
        <x:f>IF(L40="","",K40-L40)</x:f>
      </x:c>
      <x:c r="N40" s="108"/>
      <x:c r="O40"/>
      <x:c r="P40"/>
      <x:c r="Q40"/>
    </x:row>
    <x:row r="41" ht="35" customHeight="1">
      <x:c r="A41" s="95" t="str">
        <x:v>D39</x:v>
      </x:c>
      <x:c r="B41" s="95" t="str">
        <x:v>Adult Inpatients 6</x:v>
      </x:c>
      <x:c r="C41" s="95" t="str">
        <x:v>Delivery</x:v>
      </x:c>
      <x:c r="D41" s="95" t="n">
        <x:f>COUNTIFS('Data &amp; Targets'!$C$6:$C$233,A41,'Data &amp; Targets'!$F$6:$F$233,C41,'Data &amp; Targets'!$J$6:$J$233,D$30,'Data &amp; Targets'!$K$6:$K$233,1)</x:f>
        <x:v>0</x:v>
      </x:c>
      <x:c r="E41" s="95" t="n">
        <x:f>COUNTIFS('Data &amp; Targets'!$C$6:$C$233,A41,'Data &amp; Targets'!$F$6:$F$233,C41,'Data &amp; Targets'!$J$6:$J$233,E$30,'Data &amp; Targets'!$K$6:$K$233,1)</x:f>
        <x:v>3</x:v>
      </x:c>
      <x:c r="F41" s="95" t="n">
        <x:f>COUNTIFS('Data &amp; Targets'!$C$6:$C$233,A41,'Data &amp; Targets'!$F$6:$F$233,C41,'Data &amp; Targets'!$J$6:$J$233,F$30,'Data &amp; Targets'!$K$6:$K$233,1)</x:f>
        <x:v>0</x:v>
      </x:c>
      <x:c r="G41" s="95" t="n">
        <x:f>COUNTIFS('Data &amp; Targets'!$C$6:$C$233,A41,'Data &amp; Targets'!$F$6:$F$233,C41,'Data &amp; Targets'!$J$6:$J$233,G$30,'Data &amp; Targets'!$K$6:$K$233,1)</x:f>
        <x:v>0</x:v>
      </x:c>
      <x:c r="H41" s="95" t="n">
        <x:f>COUNTIFS('Data &amp; Targets'!$C$6:$C$233,A41,'Data &amp; Targets'!$F$6:$F$233,C41,'Data &amp; Targets'!$J$6:$J$233,H$30,'Data &amp; Targets'!$K$6:$K$233,1)</x:f>
        <x:v>0</x:v>
      </x:c>
      <x:c r="I41" s="95" t="n">
        <x:f>COUNTIFS('Data &amp; Targets'!$C$6:$C$233,A41,'Data &amp; Targets'!$F$6:$F$233,C41,'Data &amp; Targets'!$J$6:$J$233,I$30,'Data &amp; Targets'!$K$6:$K$233,1)</x:f>
        <x:v>0</x:v>
      </x:c>
      <x:c r="J41" s="95" t="n">
        <x:f>COUNTIFS('Data &amp; Targets'!$C$6:$C$233,A41,'Data &amp; Targets'!$F$6:$F$233,C41,'Data &amp; Targets'!$J$6:$J$233,J$30,'Data &amp; Targets'!$K$6:$K$233,1)</x:f>
        <x:v>0</x:v>
      </x:c>
      <x:c r="K41" s="95" t="n">
        <x:f>SUM(D41:J41)</x:f>
        <x:v>3</x:v>
      </x:c>
      <x:c r="L41" s="108"/>
      <x:c r="M41" s="95" t="str">
        <x:f>IF(L41="","",K41-L41)</x:f>
      </x:c>
      <x:c r="N41" s="108"/>
      <x:c r="O41"/>
      <x:c r="P41"/>
      <x:c r="Q41"/>
    </x:row>
    <x:row r="42" ht="35" customHeight="1">
      <x:c r="A42" s="95" t="str">
        <x:v>D39</x:v>
      </x:c>
      <x:c r="B42" s="95" t="str">
        <x:v>Adult Inpatients 6</x:v>
      </x:c>
      <x:c r="C42" s="95" t="str">
        <x:v>Collection</x:v>
      </x:c>
      <x:c r="D42" s="95" t="n">
        <x:f>COUNTIFS('Data &amp; Targets'!$C$6:$C$233,A42,'Data &amp; Targets'!$F$6:$F$233,C42,'Data &amp; Targets'!$J$6:$J$233,D$30,'Data &amp; Targets'!$K$6:$K$233,1)</x:f>
        <x:v>0</x:v>
      </x:c>
      <x:c r="E42" s="95" t="n">
        <x:f>COUNTIFS('Data &amp; Targets'!$C$6:$C$233,A42,'Data &amp; Targets'!$F$6:$F$233,C42,'Data &amp; Targets'!$J$6:$J$233,E$30,'Data &amp; Targets'!$K$6:$K$233,1)</x:f>
        <x:v>3</x:v>
      </x:c>
      <x:c r="F42" s="95" t="n">
        <x:f>COUNTIFS('Data &amp; Targets'!$C$6:$C$233,A42,'Data &amp; Targets'!$F$6:$F$233,C42,'Data &amp; Targets'!$J$6:$J$233,F$30,'Data &amp; Targets'!$K$6:$K$233,1)</x:f>
        <x:v>0</x:v>
      </x:c>
      <x:c r="G42" s="95" t="n">
        <x:f>COUNTIFS('Data &amp; Targets'!$C$6:$C$233,A42,'Data &amp; Targets'!$F$6:$F$233,C42,'Data &amp; Targets'!$J$6:$J$233,G$30,'Data &amp; Targets'!$K$6:$K$233,1)</x:f>
        <x:v>0</x:v>
      </x:c>
      <x:c r="H42" s="95" t="n">
        <x:f>COUNTIFS('Data &amp; Targets'!$C$6:$C$233,A42,'Data &amp; Targets'!$F$6:$F$233,C42,'Data &amp; Targets'!$J$6:$J$233,H$30,'Data &amp; Targets'!$K$6:$K$233,1)</x:f>
        <x:v>0</x:v>
      </x:c>
      <x:c r="I42" s="95" t="n">
        <x:f>COUNTIFS('Data &amp; Targets'!$C$6:$C$233,A42,'Data &amp; Targets'!$F$6:$F$233,C42,'Data &amp; Targets'!$J$6:$J$233,I$30,'Data &amp; Targets'!$K$6:$K$233,1)</x:f>
        <x:v>0</x:v>
      </x:c>
      <x:c r="J42" s="95" t="n">
        <x:f>COUNTIFS('Data &amp; Targets'!$C$6:$C$233,A42,'Data &amp; Targets'!$F$6:$F$233,C42,'Data &amp; Targets'!$J$6:$J$233,J$30,'Data &amp; Targets'!$K$6:$K$233,1)</x:f>
        <x:v>0</x:v>
      </x:c>
      <x:c r="K42" s="95" t="n">
        <x:f>SUM(D42:J42)</x:f>
        <x:v>3</x:v>
      </x:c>
      <x:c r="L42" s="108"/>
      <x:c r="M42" s="95" t="str">
        <x:f>IF(L42="","",K42-L42)</x:f>
      </x:c>
      <x:c r="N42" s="108"/>
      <x:c r="O42"/>
      <x:c r="P42"/>
      <x:c r="Q42"/>
    </x:row>
    <x:row r="43" ht="35" customHeight="1">
      <x:c r="A43" s="95" t="str">
        <x:v>D40</x:v>
      </x:c>
      <x:c r="B43" s="95" t="str">
        <x:v>Adult Inpatients 7</x:v>
      </x:c>
      <x:c r="C43" s="95" t="str">
        <x:v>Delivery</x:v>
      </x:c>
      <x:c r="D43" s="95" t="n">
        <x:f>COUNTIFS('Data &amp; Targets'!$C$6:$C$233,A43,'Data &amp; Targets'!$F$6:$F$233,C43,'Data &amp; Targets'!$J$6:$J$233,D$30,'Data &amp; Targets'!$K$6:$K$233,1)</x:f>
        <x:v>0</x:v>
      </x:c>
      <x:c r="E43" s="95" t="n">
        <x:f>COUNTIFS('Data &amp; Targets'!$C$6:$C$233,A43,'Data &amp; Targets'!$F$6:$F$233,C43,'Data &amp; Targets'!$J$6:$J$233,E$30,'Data &amp; Targets'!$K$6:$K$233,1)</x:f>
        <x:v>3</x:v>
      </x:c>
      <x:c r="F43" s="95" t="n">
        <x:f>COUNTIFS('Data &amp; Targets'!$C$6:$C$233,A43,'Data &amp; Targets'!$F$6:$F$233,C43,'Data &amp; Targets'!$J$6:$J$233,F$30,'Data &amp; Targets'!$K$6:$K$233,1)</x:f>
        <x:v>0</x:v>
      </x:c>
      <x:c r="G43" s="95" t="n">
        <x:f>COUNTIFS('Data &amp; Targets'!$C$6:$C$233,A43,'Data &amp; Targets'!$F$6:$F$233,C43,'Data &amp; Targets'!$J$6:$J$233,G$30,'Data &amp; Targets'!$K$6:$K$233,1)</x:f>
        <x:v>0</x:v>
      </x:c>
      <x:c r="H43" s="95" t="n">
        <x:f>COUNTIFS('Data &amp; Targets'!$C$6:$C$233,A43,'Data &amp; Targets'!$F$6:$F$233,C43,'Data &amp; Targets'!$J$6:$J$233,H$30,'Data &amp; Targets'!$K$6:$K$233,1)</x:f>
        <x:v>0</x:v>
      </x:c>
      <x:c r="I43" s="95" t="n">
        <x:f>COUNTIFS('Data &amp; Targets'!$C$6:$C$233,A43,'Data &amp; Targets'!$F$6:$F$233,C43,'Data &amp; Targets'!$J$6:$J$233,I$30,'Data &amp; Targets'!$K$6:$K$233,1)</x:f>
        <x:v>0</x:v>
      </x:c>
      <x:c r="J43" s="95" t="n">
        <x:f>COUNTIFS('Data &amp; Targets'!$C$6:$C$233,A43,'Data &amp; Targets'!$F$6:$F$233,C43,'Data &amp; Targets'!$J$6:$J$233,J$30,'Data &amp; Targets'!$K$6:$K$233,1)</x:f>
        <x:v>0</x:v>
      </x:c>
      <x:c r="K43" s="95" t="n">
        <x:f>SUM(D43:J43)</x:f>
        <x:v>3</x:v>
      </x:c>
      <x:c r="L43" s="108"/>
      <x:c r="M43" s="95" t="str">
        <x:f>IF(L43="","",K43-L43)</x:f>
      </x:c>
      <x:c r="N43" s="108"/>
      <x:c r="O43"/>
      <x:c r="P43"/>
      <x:c r="Q43"/>
    </x:row>
    <x:row r="44" ht="35" customHeight="1">
      <x:c r="A44" s="95" t="str">
        <x:v>D40</x:v>
      </x:c>
      <x:c r="B44" s="95" t="str">
        <x:v>Adult Inpatients 7</x:v>
      </x:c>
      <x:c r="C44" s="95" t="str">
        <x:v>Collection</x:v>
      </x:c>
      <x:c r="D44" s="95" t="n">
        <x:f>COUNTIFS('Data &amp; Targets'!$C$6:$C$233,A44,'Data &amp; Targets'!$F$6:$F$233,C44,'Data &amp; Targets'!$J$6:$J$233,D$30,'Data &amp; Targets'!$K$6:$K$233,1)</x:f>
        <x:v>0</x:v>
      </x:c>
      <x:c r="E44" s="95" t="n">
        <x:f>COUNTIFS('Data &amp; Targets'!$C$6:$C$233,A44,'Data &amp; Targets'!$F$6:$F$233,C44,'Data &amp; Targets'!$J$6:$J$233,E$30,'Data &amp; Targets'!$K$6:$K$233,1)</x:f>
        <x:v>3</x:v>
      </x:c>
      <x:c r="F44" s="95" t="n">
        <x:f>COUNTIFS('Data &amp; Targets'!$C$6:$C$233,A44,'Data &amp; Targets'!$F$6:$F$233,C44,'Data &amp; Targets'!$J$6:$J$233,F$30,'Data &amp; Targets'!$K$6:$K$233,1)</x:f>
        <x:v>0</x:v>
      </x:c>
      <x:c r="G44" s="95" t="n">
        <x:f>COUNTIFS('Data &amp; Targets'!$C$6:$C$233,A44,'Data &amp; Targets'!$F$6:$F$233,C44,'Data &amp; Targets'!$J$6:$J$233,G$30,'Data &amp; Targets'!$K$6:$K$233,1)</x:f>
        <x:v>0</x:v>
      </x:c>
      <x:c r="H44" s="95" t="n">
        <x:f>COUNTIFS('Data &amp; Targets'!$C$6:$C$233,A44,'Data &amp; Targets'!$F$6:$F$233,C44,'Data &amp; Targets'!$J$6:$J$233,H$30,'Data &amp; Targets'!$K$6:$K$233,1)</x:f>
        <x:v>0</x:v>
      </x:c>
      <x:c r="I44" s="95" t="n">
        <x:f>COUNTIFS('Data &amp; Targets'!$C$6:$C$233,A44,'Data &amp; Targets'!$F$6:$F$233,C44,'Data &amp; Targets'!$J$6:$J$233,I$30,'Data &amp; Targets'!$K$6:$K$233,1)</x:f>
        <x:v>0</x:v>
      </x:c>
      <x:c r="J44" s="95" t="n">
        <x:f>COUNTIFS('Data &amp; Targets'!$C$6:$C$233,A44,'Data &amp; Targets'!$F$6:$F$233,C44,'Data &amp; Targets'!$J$6:$J$233,J$30,'Data &amp; Targets'!$K$6:$K$233,1)</x:f>
        <x:v>0</x:v>
      </x:c>
      <x:c r="K44" s="95" t="n">
        <x:f>SUM(D44:J44)</x:f>
        <x:v>3</x:v>
      </x:c>
      <x:c r="L44" s="108"/>
      <x:c r="M44" s="95" t="str">
        <x:f>IF(L44="","",K44-L44)</x:f>
      </x:c>
      <x:c r="N44" s="108"/>
      <x:c r="O44"/>
      <x:c r="P44"/>
      <x:c r="Q44"/>
    </x:row>
    <x:row r="45" ht="35" customHeight="1">
      <x:c r="A45" s="95" t="str">
        <x:v>D41</x:v>
      </x:c>
      <x:c r="B45" s="95" t="str">
        <x:v>Adult Inpatients 8</x:v>
      </x:c>
      <x:c r="C45" s="95" t="str">
        <x:v>Delivery</x:v>
      </x:c>
      <x:c r="D45" s="95" t="n">
        <x:f>COUNTIFS('Data &amp; Targets'!$C$6:$C$233,A45,'Data &amp; Targets'!$F$6:$F$233,C45,'Data &amp; Targets'!$J$6:$J$233,D$30,'Data &amp; Targets'!$K$6:$K$233,1)</x:f>
        <x:v>0</x:v>
      </x:c>
      <x:c r="E45" s="95" t="n">
        <x:f>COUNTIFS('Data &amp; Targets'!$C$6:$C$233,A45,'Data &amp; Targets'!$F$6:$F$233,C45,'Data &amp; Targets'!$J$6:$J$233,E$30,'Data &amp; Targets'!$K$6:$K$233,1)</x:f>
        <x:v>3</x:v>
      </x:c>
      <x:c r="F45" s="95" t="n">
        <x:f t="shared" ref="F45:F52" si="0">COUNTIFS('Data &amp; Targets'!$C$6:$C$233,A45,'Data &amp; Targets'!$F$6:$F$233,C45,'Data &amp; Targets'!$J$6:$J$233,F$30,'Data &amp; Targets'!$K$6:$K$233,1)</x:f>
        <x:v>0</x:v>
      </x:c>
      <x:c r="G45" s="95" t="n">
        <x:f t="shared" ref="G45:G52" si="1">COUNTIFS('Data &amp; Targets'!$C$6:$C$233,A45,'Data &amp; Targets'!$F$6:$F$233,C45,'Data &amp; Targets'!$J$6:$J$233,G$30,'Data &amp; Targets'!$K$6:$K$233,1)</x:f>
        <x:v>0</x:v>
      </x:c>
      <x:c r="H45" s="95" t="n">
        <x:f>COUNTIFS('Data &amp; Targets'!$C$6:$C$233,A45,'Data &amp; Targets'!$F$6:$F$233,C45,'Data &amp; Targets'!$J$6:$J$233,H$30,'Data &amp; Targets'!$K$6:$K$233,1)</x:f>
        <x:v>0</x:v>
      </x:c>
      <x:c r="I45" s="95" t="n">
        <x:f>COUNTIFS('Data &amp; Targets'!$C$6:$C$233,A45,'Data &amp; Targets'!$F$6:$F$233,C45,'Data &amp; Targets'!$J$6:$J$233,I$30,'Data &amp; Targets'!$K$6:$K$233,1)</x:f>
        <x:v>0</x:v>
      </x:c>
      <x:c r="J45" s="95" t="n">
        <x:f>COUNTIFS('Data &amp; Targets'!$C$6:$C$233,A45,'Data &amp; Targets'!$F$6:$F$233,C45,'Data &amp; Targets'!$J$6:$J$233,J$30,'Data &amp; Targets'!$K$6:$K$233,1)</x:f>
        <x:v>0</x:v>
      </x:c>
      <x:c r="K45" s="95" t="n">
        <x:f>SUM(D45:J45)</x:f>
        <x:v>3</x:v>
      </x:c>
      <x:c r="L45" s="108"/>
      <x:c r="M45" s="95" t="str">
        <x:f>IF(L45="","",K45-L45)</x:f>
      </x:c>
      <x:c r="N45" s="108"/>
      <x:c r="O45"/>
      <x:c r="P45"/>
      <x:c r="Q45"/>
    </x:row>
    <x:row r="46" ht="35" customHeight="1">
      <x:c r="A46" s="95" t="str">
        <x:v>D41</x:v>
      </x:c>
      <x:c r="B46" s="95" t="str">
        <x:v>Adult Inpatients 8</x:v>
      </x:c>
      <x:c r="C46" s="95" t="str">
        <x:v>Collection</x:v>
      </x:c>
      <x:c r="D46" s="95" t="n">
        <x:f>COUNTIFS('Data &amp; Targets'!$C$6:$C$233,A46,'Data &amp; Targets'!$F$6:$F$233,C46,'Data &amp; Targets'!$J$6:$J$233,D$30,'Data &amp; Targets'!$K$6:$K$233,1)</x:f>
        <x:v>0</x:v>
      </x:c>
      <x:c r="E46" s="95" t="n">
        <x:f>COUNTIFS('Data &amp; Targets'!$C$6:$C$233,A46,'Data &amp; Targets'!$F$6:$F$233,C46,'Data &amp; Targets'!$J$6:$J$233,E$30,'Data &amp; Targets'!$K$6:$K$233,1)</x:f>
        <x:v>3</x:v>
      </x:c>
      <x:c r="F46" s="95" t="n">
        <x:f t="shared" si="0">COUNTIFS('Data &amp; Targets'!$C$6:$C$233,A46,'Data &amp; Targets'!$F$6:$F$233,C46,'Data &amp; Targets'!$J$6:$J$233,F$30,'Data &amp; Targets'!$K$6:$K$233,1)</x:f>
        <x:v>0</x:v>
      </x:c>
      <x:c r="G46" s="95" t="n">
        <x:f t="shared" si="1">COUNTIFS('Data &amp; Targets'!$C$6:$C$233,A46,'Data &amp; Targets'!$F$6:$F$233,C46,'Data &amp; Targets'!$J$6:$J$233,G$30,'Data &amp; Targets'!$K$6:$K$233,1)</x:f>
        <x:v>0</x:v>
      </x:c>
      <x:c r="H46" s="95" t="n">
        <x:f>COUNTIFS('Data &amp; Targets'!$C$6:$C$233,A46,'Data &amp; Targets'!$F$6:$F$233,C46,'Data &amp; Targets'!$J$6:$J$233,H$30,'Data &amp; Targets'!$K$6:$K$233,1)</x:f>
        <x:v>0</x:v>
      </x:c>
      <x:c r="I46" s="95" t="n">
        <x:f>COUNTIFS('Data &amp; Targets'!$C$6:$C$233,A46,'Data &amp; Targets'!$F$6:$F$233,C46,'Data &amp; Targets'!$J$6:$J$233,I$30,'Data &amp; Targets'!$K$6:$K$233,1)</x:f>
        <x:v>0</x:v>
      </x:c>
      <x:c r="J46" s="95" t="n">
        <x:f>COUNTIFS('Data &amp; Targets'!$C$6:$C$233,A46,'Data &amp; Targets'!$F$6:$F$233,C46,'Data &amp; Targets'!$J$6:$J$233,J$30,'Data &amp; Targets'!$K$6:$K$233,1)</x:f>
        <x:v>0</x:v>
      </x:c>
      <x:c r="K46" s="95" t="n">
        <x:f>SUM(D46:J46)</x:f>
        <x:v>3</x:v>
      </x:c>
      <x:c r="L46" s="108"/>
      <x:c r="M46" s="95" t="str">
        <x:f>IF(L46="","",K46-L46)</x:f>
      </x:c>
      <x:c r="N46" s="108"/>
      <x:c r="O46"/>
      <x:c r="P46"/>
      <x:c r="Q46"/>
    </x:row>
    <x:row r="47" ht="35" customHeight="1">
      <x:c r="A47" s="95" t="str">
        <x:v>D43</x:v>
      </x:c>
      <x:c r="B47" s="95" t="str">
        <x:v>Adult Inpatients 9</x:v>
      </x:c>
      <x:c r="C47" s="95" t="str">
        <x:v>Delivery</x:v>
      </x:c>
      <x:c r="D47" s="95" t="n">
        <x:f>COUNTIFS('Data &amp; Targets'!$C$6:$C$233,A47,'Data &amp; Targets'!$F$6:$F$233,C47,'Data &amp; Targets'!$J$6:$J$233,D$30,'Data &amp; Targets'!$K$6:$K$233,1)</x:f>
        <x:v>0</x:v>
      </x:c>
      <x:c r="E47" s="95" t="n">
        <x:f>COUNTIFS('Data &amp; Targets'!$C$6:$C$233,A47,'Data &amp; Targets'!$F$6:$F$233,C47,'Data &amp; Targets'!$J$6:$J$233,E$30,'Data &amp; Targets'!$K$6:$K$233,1)</x:f>
        <x:v>0</x:v>
      </x:c>
      <x:c r="F47" s="95" t="n">
        <x:f t="shared" si="0">COUNTIFS('Data &amp; Targets'!$C$6:$C$233,A47,'Data &amp; Targets'!$F$6:$F$233,C47,'Data &amp; Targets'!$J$6:$J$233,F$30,'Data &amp; Targets'!$K$6:$K$233,1)</x:f>
        <x:v>3</x:v>
      </x:c>
      <x:c r="G47" s="95" t="n">
        <x:f t="shared" si="1">COUNTIFS('Data &amp; Targets'!$C$6:$C$233,A47,'Data &amp; Targets'!$F$6:$F$233,C47,'Data &amp; Targets'!$J$6:$J$233,G$30,'Data &amp; Targets'!$K$6:$K$233,1)</x:f>
        <x:v>0</x:v>
      </x:c>
      <x:c r="H47" s="95" t="n">
        <x:f>COUNTIFS('Data &amp; Targets'!$C$6:$C$233,A47,'Data &amp; Targets'!$F$6:$F$233,C47,'Data &amp; Targets'!$J$6:$J$233,H$30,'Data &amp; Targets'!$K$6:$K$233,1)</x:f>
        <x:v>0</x:v>
      </x:c>
      <x:c r="I47" s="95" t="n">
        <x:f>COUNTIFS('Data &amp; Targets'!$C$6:$C$233,A47,'Data &amp; Targets'!$F$6:$F$233,C47,'Data &amp; Targets'!$J$6:$J$233,I$30,'Data &amp; Targets'!$K$6:$K$233,1)</x:f>
        <x:v>0</x:v>
      </x:c>
      <x:c r="J47" s="95" t="n">
        <x:f>COUNTIFS('Data &amp; Targets'!$C$6:$C$233,A47,'Data &amp; Targets'!$F$6:$F$233,C47,'Data &amp; Targets'!$J$6:$J$233,J$30,'Data &amp; Targets'!$K$6:$K$233,1)</x:f>
        <x:v>0</x:v>
      </x:c>
      <x:c r="K47" s="95" t="n">
        <x:f>SUM(D47:J47)</x:f>
        <x:v>3</x:v>
      </x:c>
      <x:c r="L47" s="108"/>
      <x:c r="M47" s="95" t="str">
        <x:f>IF(L47="","",K47-L47)</x:f>
      </x:c>
      <x:c r="N47" s="108"/>
      <x:c r="O47"/>
      <x:c r="P47"/>
      <x:c r="Q47"/>
    </x:row>
    <x:row r="48" ht="35" customHeight="1">
      <x:c r="A48" s="95" t="str">
        <x:v>D43</x:v>
      </x:c>
      <x:c r="B48" s="95" t="str">
        <x:v>Adult Inpatients 9</x:v>
      </x:c>
      <x:c r="C48" s="95" t="str">
        <x:v>Collection</x:v>
      </x:c>
      <x:c r="D48" s="95" t="n">
        <x:f>COUNTIFS('Data &amp; Targets'!$C$6:$C$233,A48,'Data &amp; Targets'!$F$6:$F$233,C48,'Data &amp; Targets'!$J$6:$J$233,D$30,'Data &amp; Targets'!$K$6:$K$233,1)</x:f>
        <x:v>0</x:v>
      </x:c>
      <x:c r="E48" s="95" t="n">
        <x:f>COUNTIFS('Data &amp; Targets'!$C$6:$C$233,A48,'Data &amp; Targets'!$F$6:$F$233,C48,'Data &amp; Targets'!$J$6:$J$233,E$30,'Data &amp; Targets'!$K$6:$K$233,1)</x:f>
        <x:v>0</x:v>
      </x:c>
      <x:c r="F48" s="95" t="n">
        <x:f t="shared" si="0">COUNTIFS('Data &amp; Targets'!$C$6:$C$233,A48,'Data &amp; Targets'!$F$6:$F$233,C48,'Data &amp; Targets'!$J$6:$J$233,F$30,'Data &amp; Targets'!$K$6:$K$233,1)</x:f>
        <x:v>3</x:v>
      </x:c>
      <x:c r="G48" s="95" t="n">
        <x:f t="shared" si="1">COUNTIFS('Data &amp; Targets'!$C$6:$C$233,A48,'Data &amp; Targets'!$F$6:$F$233,C48,'Data &amp; Targets'!$J$6:$J$233,G$30,'Data &amp; Targets'!$K$6:$K$233,1)</x:f>
        <x:v>0</x:v>
      </x:c>
      <x:c r="H48" s="95" t="n">
        <x:f>COUNTIFS('Data &amp; Targets'!$C$6:$C$233,A48,'Data &amp; Targets'!$F$6:$F$233,C48,'Data &amp; Targets'!$J$6:$J$233,H$30,'Data &amp; Targets'!$K$6:$K$233,1)</x:f>
        <x:v>0</x:v>
      </x:c>
      <x:c r="I48" s="95" t="n">
        <x:f>COUNTIFS('Data &amp; Targets'!$C$6:$C$233,A48,'Data &amp; Targets'!$F$6:$F$233,C48,'Data &amp; Targets'!$J$6:$J$233,I$30,'Data &amp; Targets'!$K$6:$K$233,1)</x:f>
        <x:v>0</x:v>
      </x:c>
      <x:c r="J48" s="95" t="n">
        <x:f>COUNTIFS('Data &amp; Targets'!$C$6:$C$233,A48,'Data &amp; Targets'!$F$6:$F$233,C48,'Data &amp; Targets'!$J$6:$J$233,J$30,'Data &amp; Targets'!$K$6:$K$233,1)</x:f>
        <x:v>0</x:v>
      </x:c>
      <x:c r="K48" s="95" t="n">
        <x:f>SUM(D48:J48)</x:f>
        <x:v>3</x:v>
      </x:c>
      <x:c r="L48" s="108"/>
      <x:c r="M48" s="95" t="str">
        <x:f>IF(L48="","",K48-L48)</x:f>
      </x:c>
      <x:c r="N48" s="108"/>
      <x:c r="O48"/>
      <x:c r="P48"/>
      <x:c r="Q48"/>
    </x:row>
    <x:row r="49" ht="35" customHeight="1">
      <x:c r="A49" s="95" t="str">
        <x:v>D17</x:v>
      </x:c>
      <x:c r="B49" s="95" t="str">
        <x:v>Ambulatory Care</x:v>
      </x:c>
      <x:c r="C49" s="95" t="str">
        <x:v>Delivery</x:v>
      </x:c>
      <x:c r="D49" s="95" t="n">
        <x:f>COUNTIFS('Data &amp; Targets'!$C$6:$C$233,A49,'Data &amp; Targets'!$F$6:$F$233,C49,'Data &amp; Targets'!$J$6:$J$233,D$30,'Data &amp; Targets'!$K$6:$K$233,1)</x:f>
        <x:v>0</x:v>
      </x:c>
      <x:c r="E49" s="95" t="n">
        <x:f>COUNTIFS('Data &amp; Targets'!$C$6:$C$233,A49,'Data &amp; Targets'!$F$6:$F$233,C49,'Data &amp; Targets'!$J$6:$J$233,E$30,'Data &amp; Targets'!$K$6:$K$233,1)</x:f>
        <x:v>3</x:v>
      </x:c>
      <x:c r="F49" s="95" t="n">
        <x:f t="shared" si="0">COUNTIFS('Data &amp; Targets'!$C$6:$C$233,A49,'Data &amp; Targets'!$F$6:$F$233,C49,'Data &amp; Targets'!$J$6:$J$233,F$30,'Data &amp; Targets'!$K$6:$K$233,1)</x:f>
        <x:v>0</x:v>
      </x:c>
      <x:c r="G49" s="95" t="n">
        <x:f t="shared" si="1">COUNTIFS('Data &amp; Targets'!$C$6:$C$233,A49,'Data &amp; Targets'!$F$6:$F$233,C49,'Data &amp; Targets'!$J$6:$J$233,G$30,'Data &amp; Targets'!$K$6:$K$233,1)</x:f>
        <x:v>0</x:v>
      </x:c>
      <x:c r="H49" s="95" t="n">
        <x:f>COUNTIFS('Data &amp; Targets'!$C$6:$C$233,A49,'Data &amp; Targets'!$F$6:$F$233,C49,'Data &amp; Targets'!$J$6:$J$233,H$30,'Data &amp; Targets'!$K$6:$K$233,1)</x:f>
        <x:v>0</x:v>
      </x:c>
      <x:c r="I49" s="95" t="n">
        <x:f>COUNTIFS('Data &amp; Targets'!$C$6:$C$233,A49,'Data &amp; Targets'!$F$6:$F$233,C49,'Data &amp; Targets'!$J$6:$J$233,I$30,'Data &amp; Targets'!$K$6:$K$233,1)</x:f>
        <x:v>0</x:v>
      </x:c>
      <x:c r="J49" s="95" t="n">
        <x:f>COUNTIFS('Data &amp; Targets'!$C$6:$C$233,A49,'Data &amp; Targets'!$F$6:$F$233,C49,'Data &amp; Targets'!$J$6:$J$233,J$30,'Data &amp; Targets'!$K$6:$K$233,1)</x:f>
        <x:v>0</x:v>
      </x:c>
      <x:c r="K49" s="95" t="n">
        <x:f>SUM(D49:J49)</x:f>
        <x:v>3</x:v>
      </x:c>
      <x:c r="L49" s="108"/>
      <x:c r="M49" s="95" t="str">
        <x:f>IF(L49="","",K49-L49)</x:f>
      </x:c>
      <x:c r="N49" s="108"/>
      <x:c r="O49"/>
      <x:c r="P49"/>
      <x:c r="Q49"/>
    </x:row>
    <x:row r="50" ht="35" customHeight="1">
      <x:c r="A50" s="95" t="str">
        <x:v>D17</x:v>
      </x:c>
      <x:c r="B50" s="95" t="str">
        <x:v>Ambulatory Care</x:v>
      </x:c>
      <x:c r="C50" s="95" t="str">
        <x:v>Collection</x:v>
      </x:c>
      <x:c r="D50" s="95" t="n">
        <x:f>COUNTIFS('Data &amp; Targets'!$C$6:$C$233,A50,'Data &amp; Targets'!$F$6:$F$233,C50,'Data &amp; Targets'!$J$6:$J$233,D$30,'Data &amp; Targets'!$K$6:$K$233,1)</x:f>
        <x:v>0</x:v>
      </x:c>
      <x:c r="E50" s="95" t="n">
        <x:f>COUNTIFS('Data &amp; Targets'!$C$6:$C$233,A50,'Data &amp; Targets'!$F$6:$F$233,C50,'Data &amp; Targets'!$J$6:$J$233,E$30,'Data &amp; Targets'!$K$6:$K$233,1)</x:f>
        <x:v>3</x:v>
      </x:c>
      <x:c r="F50" s="95" t="n">
        <x:f t="shared" si="0">COUNTIFS('Data &amp; Targets'!$C$6:$C$233,A50,'Data &amp; Targets'!$F$6:$F$233,C50,'Data &amp; Targets'!$J$6:$J$233,F$30,'Data &amp; Targets'!$K$6:$K$233,1)</x:f>
        <x:v>0</x:v>
      </x:c>
      <x:c r="G50" s="95" t="n">
        <x:f t="shared" si="1">COUNTIFS('Data &amp; Targets'!$C$6:$C$233,A50,'Data &amp; Targets'!$F$6:$F$233,C50,'Data &amp; Targets'!$J$6:$J$233,G$30,'Data &amp; Targets'!$K$6:$K$233,1)</x:f>
        <x:v>0</x:v>
      </x:c>
      <x:c r="H50" s="95" t="n">
        <x:f>COUNTIFS('Data &amp; Targets'!$C$6:$C$233,A50,'Data &amp; Targets'!$F$6:$F$233,C50,'Data &amp; Targets'!$J$6:$J$233,H$30,'Data &amp; Targets'!$K$6:$K$233,1)</x:f>
        <x:v>0</x:v>
      </x:c>
      <x:c r="I50" s="95" t="n">
        <x:f>COUNTIFS('Data &amp; Targets'!$C$6:$C$233,A50,'Data &amp; Targets'!$F$6:$F$233,C50,'Data &amp; Targets'!$J$6:$J$233,I$30,'Data &amp; Targets'!$K$6:$K$233,1)</x:f>
        <x:v>0</x:v>
      </x:c>
      <x:c r="J50" s="95" t="n">
        <x:f>COUNTIFS('Data &amp; Targets'!$C$6:$C$233,A50,'Data &amp; Targets'!$F$6:$F$233,C50,'Data &amp; Targets'!$J$6:$J$233,J$30,'Data &amp; Targets'!$K$6:$K$233,1)</x:f>
        <x:v>0</x:v>
      </x:c>
      <x:c r="K50" s="95" t="n">
        <x:f>SUM(D50:J50)</x:f>
        <x:v>3</x:v>
      </x:c>
      <x:c r="L50" s="108"/>
      <x:c r="M50" s="95" t="str">
        <x:f>IF(L50="","",K50-L50)</x:f>
      </x:c>
      <x:c r="N50" s="108"/>
      <x:c r="O50"/>
      <x:c r="P50"/>
      <x:c r="Q50"/>
    </x:row>
    <x:row r="51" ht="35" customHeight="1">
      <x:c r="A51" s="95" t="str">
        <x:v>D16</x:v>
      </x:c>
      <x:c r="B51" s="95" t="str">
        <x:v>Ante-natal</x:v>
      </x:c>
      <x:c r="C51" s="95" t="str">
        <x:v>Delivery</x:v>
      </x:c>
      <x:c r="D51" s="95" t="n">
        <x:f>COUNTIFS('Data &amp; Targets'!$C$6:$C$233,A51,'Data &amp; Targets'!$F$6:$F$233,C51,'Data &amp; Targets'!$J$6:$J$233,D$30,'Data &amp; Targets'!$K$6:$K$233,1)</x:f>
        <x:v>3</x:v>
      </x:c>
      <x:c r="E51" s="95" t="n">
        <x:f>COUNTIFS('Data &amp; Targets'!$C$6:$C$233,A51,'Data &amp; Targets'!$F$6:$F$233,C51,'Data &amp; Targets'!$J$6:$J$233,E$30,'Data &amp; Targets'!$K$6:$K$233,1)</x:f>
        <x:v>0</x:v>
      </x:c>
      <x:c r="F51" s="95" t="n">
        <x:f t="shared" si="0">COUNTIFS('Data &amp; Targets'!$C$6:$C$233,A51,'Data &amp; Targets'!$F$6:$F$233,C51,'Data &amp; Targets'!$J$6:$J$233,F$30,'Data &amp; Targets'!$K$6:$K$233,1)</x:f>
        <x:v>0</x:v>
      </x:c>
      <x:c r="G51" s="95" t="n">
        <x:f t="shared" si="1">COUNTIFS('Data &amp; Targets'!$C$6:$C$233,A51,'Data &amp; Targets'!$F$6:$F$233,C51,'Data &amp; Targets'!$J$6:$J$233,G$30,'Data &amp; Targets'!$K$6:$K$233,1)</x:f>
        <x:v>0</x:v>
      </x:c>
      <x:c r="H51" s="95" t="n">
        <x:f>COUNTIFS('Data &amp; Targets'!$C$6:$C$233,A51,'Data &amp; Targets'!$F$6:$F$233,C51,'Data &amp; Targets'!$J$6:$J$233,H$30,'Data &amp; Targets'!$K$6:$K$233,1)</x:f>
        <x:v>0</x:v>
      </x:c>
      <x:c r="I51" s="95" t="n">
        <x:f>COUNTIFS('Data &amp; Targets'!$C$6:$C$233,A51,'Data &amp; Targets'!$F$6:$F$233,C51,'Data &amp; Targets'!$J$6:$J$233,I$30,'Data &amp; Targets'!$K$6:$K$233,1)</x:f>
        <x:v>0</x:v>
      </x:c>
      <x:c r="J51" s="95" t="n">
        <x:f>COUNTIFS('Data &amp; Targets'!$C$6:$C$233,A51,'Data &amp; Targets'!$F$6:$F$233,C51,'Data &amp; Targets'!$J$6:$J$233,J$30,'Data &amp; Targets'!$K$6:$K$233,1)</x:f>
        <x:v>0</x:v>
      </x:c>
      <x:c r="K51" s="95" t="n">
        <x:f>SUM(D51:J51)</x:f>
        <x:v>3</x:v>
      </x:c>
      <x:c r="L51" s="108"/>
      <x:c r="M51" s="95" t="str">
        <x:f>IF(L51="","",K51-L51)</x:f>
      </x:c>
      <x:c r="N51" s="108"/>
      <x:c r="O51"/>
      <x:c r="P51"/>
      <x:c r="Q51"/>
    </x:row>
    <x:row r="52" ht="35" customHeight="1">
      <x:c r="A52" s="95" t="str">
        <x:v>D16</x:v>
      </x:c>
      <x:c r="B52" s="95" t="str">
        <x:v>Ante-natal</x:v>
      </x:c>
      <x:c r="C52" s="95" t="str">
        <x:v>Collection</x:v>
      </x:c>
      <x:c r="D52" s="95" t="n">
        <x:f>COUNTIFS('Data &amp; Targets'!$C$6:$C$233,A52,'Data &amp; Targets'!$F$6:$F$233,C52,'Data &amp; Targets'!$J$6:$J$233,D$30,'Data &amp; Targets'!$K$6:$K$233,1)</x:f>
        <x:v>3</x:v>
      </x:c>
      <x:c r="E52" s="95" t="n">
        <x:f>COUNTIFS('Data &amp; Targets'!$C$6:$C$233,A52,'Data &amp; Targets'!$F$6:$F$233,C52,'Data &amp; Targets'!$J$6:$J$233,E$30,'Data &amp; Targets'!$K$6:$K$233,1)</x:f>
        <x:v>0</x:v>
      </x:c>
      <x:c r="F52" s="95" t="n">
        <x:f t="shared" si="0">COUNTIFS('Data &amp; Targets'!$C$6:$C$233,A52,'Data &amp; Targets'!$F$6:$F$233,C52,'Data &amp; Targets'!$J$6:$J$233,F$30,'Data &amp; Targets'!$K$6:$K$233,1)</x:f>
        <x:v>0</x:v>
      </x:c>
      <x:c r="G52" s="95" t="n">
        <x:f t="shared" si="1">COUNTIFS('Data &amp; Targets'!$C$6:$C$233,A52,'Data &amp; Targets'!$F$6:$F$233,C52,'Data &amp; Targets'!$J$6:$J$233,G$30,'Data &amp; Targets'!$K$6:$K$233,1)</x:f>
        <x:v>0</x:v>
      </x:c>
      <x:c r="H52" s="95" t="n">
        <x:f>COUNTIFS('Data &amp; Targets'!$C$6:$C$233,A52,'Data &amp; Targets'!$F$6:$F$233,C52,'Data &amp; Targets'!$J$6:$J$233,H$30,'Data &amp; Targets'!$K$6:$K$233,1)</x:f>
        <x:v>0</x:v>
      </x:c>
      <x:c r="I52" s="95" t="n">
        <x:f>COUNTIFS('Data &amp; Targets'!$C$6:$C$233,A52,'Data &amp; Targets'!$F$6:$F$233,C52,'Data &amp; Targets'!$J$6:$J$233,I$30,'Data &amp; Targets'!$K$6:$K$233,1)</x:f>
        <x:v>0</x:v>
      </x:c>
      <x:c r="J52" s="95" t="n">
        <x:f>COUNTIFS('Data &amp; Targets'!$C$6:$C$233,A52,'Data &amp; Targets'!$F$6:$F$233,C52,'Data &amp; Targets'!$J$6:$J$233,J$30,'Data &amp; Targets'!$K$6:$K$233,1)</x:f>
        <x:v>0</x:v>
      </x:c>
      <x:c r="K52" s="95" t="n">
        <x:f>SUM(D52:J52)</x:f>
        <x:v>3</x:v>
      </x:c>
      <x:c r="L52" s="108"/>
      <x:c r="M52" s="95" t="str">
        <x:f>IF(L52="","",K52-L52)</x:f>
      </x:c>
      <x:c r="N52" s="108"/>
      <x:c r="O52"/>
      <x:c r="P52"/>
      <x:c r="Q52"/>
    </x:row>
    <x:row r="53" ht="35" customHeight="1">
      <x:c r="A53" s="95" t="str">
        <x:v>D19</x:v>
      </x:c>
      <x:c r="B53" s="95" t="str">
        <x:v>Birthing Suite</x:v>
      </x:c>
      <x:c r="C53" s="95" t="str">
        <x:v>Delivery</x:v>
      </x:c>
      <x:c r="D53" s="95" t="n">
        <x:f>COUNTIFS('Data &amp; Targets'!$C$6:$C$233,A53,'Data &amp; Targets'!$F$6:$F$233,C53,'Data &amp; Targets'!$J$6:$J$233,D$30,'Data &amp; Targets'!$K$6:$K$233,1)</x:f>
        <x:v>0</x:v>
      </x:c>
      <x:c r="E53" s="95" t="n">
        <x:f>COUNTIFS('Data &amp; Targets'!$C$6:$C$233,A53,'Data &amp; Targets'!$F$6:$F$233,C53,'Data &amp; Targets'!$J$6:$J$233,E$30,'Data &amp; Targets'!$K$6:$K$233,1)</x:f>
        <x:v>0</x:v>
      </x:c>
      <x:c r="F53" s="95" t="n">
        <x:f>COUNTIFS('Data &amp; Targets'!$C$6:$C$233,A53,'Data &amp; Targets'!$F$6:$F$233,C53,'Data &amp; Targets'!$J$6:$J$233,F$30,'Data &amp; Targets'!$K$6:$K$233,1)</x:f>
        <x:v>3</x:v>
      </x:c>
      <x:c r="G53" s="95" t="n">
        <x:f>COUNTIFS('Data &amp; Targets'!$C$6:$C$233,A53,'Data &amp; Targets'!$F$6:$F$233,C53,'Data &amp; Targets'!$J$6:$J$233,G$30,'Data &amp; Targets'!$K$6:$K$233,1)</x:f>
        <x:v>0</x:v>
      </x:c>
      <x:c r="H53" s="95" t="n">
        <x:f>COUNTIFS('Data &amp; Targets'!$C$6:$C$233,A53,'Data &amp; Targets'!$F$6:$F$233,C53,'Data &amp; Targets'!$J$6:$J$233,H$30,'Data &amp; Targets'!$K$6:$K$233,1)</x:f>
        <x:v>0</x:v>
      </x:c>
      <x:c r="I53" s="95" t="n">
        <x:f>COUNTIFS('Data &amp; Targets'!$C$6:$C$233,A53,'Data &amp; Targets'!$F$6:$F$233,C53,'Data &amp; Targets'!$J$6:$J$233,I$30,'Data &amp; Targets'!$K$6:$K$233,1)</x:f>
        <x:v>0</x:v>
      </x:c>
      <x:c r="J53" s="95" t="n">
        <x:f>COUNTIFS('Data &amp; Targets'!$C$6:$C$233,A53,'Data &amp; Targets'!$F$6:$F$233,C53,'Data &amp; Targets'!$J$6:$J$233,J$30,'Data &amp; Targets'!$K$6:$K$233,1)</x:f>
        <x:v>0</x:v>
      </x:c>
      <x:c r="K53" s="95" t="n">
        <x:f>SUM(D53:J53)</x:f>
        <x:v>3</x:v>
      </x:c>
      <x:c r="L53" s="108"/>
      <x:c r="M53" s="95" t="str">
        <x:f>IF(L53="","",K53-L53)</x:f>
      </x:c>
      <x:c r="N53" s="108"/>
      <x:c r="O53"/>
      <x:c r="P53"/>
      <x:c r="Q53"/>
    </x:row>
    <x:row r="54" ht="35" customHeight="1">
      <x:c r="A54" s="95" t="str">
        <x:v>D19</x:v>
      </x:c>
      <x:c r="B54" s="95" t="str">
        <x:v>Birthing Suite</x:v>
      </x:c>
      <x:c r="C54" s="95" t="str">
        <x:v>Collection</x:v>
      </x:c>
      <x:c r="D54" s="95" t="n">
        <x:f>COUNTIFS('Data &amp; Targets'!$C$6:$C$233,A54,'Data &amp; Targets'!$F$6:$F$233,C54,'Data &amp; Targets'!$J$6:$J$233,D$30,'Data &amp; Targets'!$K$6:$K$233,1)</x:f>
        <x:v>0</x:v>
      </x:c>
      <x:c r="E54" s="95" t="n">
        <x:f>COUNTIFS('Data &amp; Targets'!$C$6:$C$233,A54,'Data &amp; Targets'!$F$6:$F$233,C54,'Data &amp; Targets'!$J$6:$J$233,E$30,'Data &amp; Targets'!$K$6:$K$233,1)</x:f>
        <x:v>0</x:v>
      </x:c>
      <x:c r="F54" s="95" t="n">
        <x:f>COUNTIFS('Data &amp; Targets'!$C$6:$C$233,A54,'Data &amp; Targets'!$F$6:$F$233,C54,'Data &amp; Targets'!$J$6:$J$233,F$30,'Data &amp; Targets'!$K$6:$K$233,1)</x:f>
        <x:v>3</x:v>
      </x:c>
      <x:c r="G54" s="95" t="n">
        <x:f>COUNTIFS('Data &amp; Targets'!$C$6:$C$233,A54,'Data &amp; Targets'!$F$6:$F$233,C54,'Data &amp; Targets'!$J$6:$J$233,G$30,'Data &amp; Targets'!$K$6:$K$233,1)</x:f>
        <x:v>0</x:v>
      </x:c>
      <x:c r="H54" s="95" t="n">
        <x:f>COUNTIFS('Data &amp; Targets'!$C$6:$C$233,A54,'Data &amp; Targets'!$F$6:$F$233,C54,'Data &amp; Targets'!$J$6:$J$233,H$30,'Data &amp; Targets'!$K$6:$K$233,1)</x:f>
        <x:v>0</x:v>
      </x:c>
      <x:c r="I54" s="95" t="n">
        <x:f>COUNTIFS('Data &amp; Targets'!$C$6:$C$233,A54,'Data &amp; Targets'!$F$6:$F$233,C54,'Data &amp; Targets'!$J$6:$J$233,I$30,'Data &amp; Targets'!$K$6:$K$233,1)</x:f>
        <x:v>0</x:v>
      </x:c>
      <x:c r="J54" s="95" t="n">
        <x:f>COUNTIFS('Data &amp; Targets'!$C$6:$C$233,A54,'Data &amp; Targets'!$F$6:$F$233,C54,'Data &amp; Targets'!$J$6:$J$233,J$30,'Data &amp; Targets'!$K$6:$K$233,1)</x:f>
        <x:v>0</x:v>
      </x:c>
      <x:c r="K54" s="95" t="n">
        <x:f>SUM(D54:J54)</x:f>
        <x:v>3</x:v>
      </x:c>
      <x:c r="L54" s="108"/>
      <x:c r="M54" s="95" t="str">
        <x:f>IF(L54="","",K54-L54)</x:f>
      </x:c>
      <x:c r="N54" s="108"/>
    </x:row>
    <x:row r="55" ht="35" customHeight="1">
      <x:c r="A55" s="95" t="str">
        <x:v>D36</x:v>
      </x:c>
      <x:c r="B55" s="95" t="str">
        <x:v>Cardic Inpatients</x:v>
      </x:c>
      <x:c r="C55" s="95" t="str">
        <x:v>Delivery</x:v>
      </x:c>
      <x:c r="D55" s="95" t="n">
        <x:f>COUNTIFS('Data &amp; Targets'!$C$6:$C$233,A55,'Data &amp; Targets'!$F$6:$F$233,C55,'Data &amp; Targets'!$J$6:$J$233,D$30,'Data &amp; Targets'!$K$6:$K$233,1)</x:f>
        <x:v>0</x:v>
      </x:c>
      <x:c r="E55" s="95" t="n">
        <x:f>COUNTIFS('Data &amp; Targets'!$C$6:$C$233,A55,'Data &amp; Targets'!$F$6:$F$233,C55,'Data &amp; Targets'!$J$6:$J$233,E$30,'Data &amp; Targets'!$K$6:$K$233,1)</x:f>
        <x:v>3</x:v>
      </x:c>
      <x:c r="F55" s="95" t="n">
        <x:f>COUNTIFS('Data &amp; Targets'!$C$6:$C$233,A55,'Data &amp; Targets'!$F$6:$F$233,C55,'Data &amp; Targets'!$J$6:$J$233,F$30,'Data &amp; Targets'!$K$6:$K$233,1)</x:f>
        <x:v>0</x:v>
      </x:c>
      <x:c r="G55" s="95" t="n">
        <x:f>COUNTIFS('Data &amp; Targets'!$C$6:$C$233,A55,'Data &amp; Targets'!$F$6:$F$233,C55,'Data &amp; Targets'!$J$6:$J$233,G$30,'Data &amp; Targets'!$K$6:$K$233,1)</x:f>
        <x:v>0</x:v>
      </x:c>
      <x:c r="H55" s="95" t="n">
        <x:f>COUNTIFS('Data &amp; Targets'!$C$6:$C$233,A55,'Data &amp; Targets'!$F$6:$F$233,C55,'Data &amp; Targets'!$J$6:$J$233,H$30,'Data &amp; Targets'!$K$6:$K$233,1)</x:f>
        <x:v>0</x:v>
      </x:c>
      <x:c r="I55" s="95" t="n">
        <x:f>COUNTIFS('Data &amp; Targets'!$C$6:$C$233,A55,'Data &amp; Targets'!$F$6:$F$233,C55,'Data &amp; Targets'!$J$6:$J$233,I$30,'Data &amp; Targets'!$K$6:$K$233,1)</x:f>
        <x:v>0</x:v>
      </x:c>
      <x:c r="J55" s="95" t="n">
        <x:f>COUNTIFS('Data &amp; Targets'!$C$6:$C$233,A55,'Data &amp; Targets'!$F$6:$F$233,C55,'Data &amp; Targets'!$J$6:$J$233,J$30,'Data &amp; Targets'!$K$6:$K$233,1)</x:f>
        <x:v>0</x:v>
      </x:c>
      <x:c r="K55" s="95" t="n">
        <x:f>SUM(D55:J55)</x:f>
        <x:v>3</x:v>
      </x:c>
      <x:c r="L55" s="108"/>
      <x:c r="M55" s="95" t="str">
        <x:f>IF(L55="","",K55-L55)</x:f>
      </x:c>
      <x:c r="N55" s="108"/>
    </x:row>
    <x:row r="56" ht="35" customHeight="1">
      <x:c r="A56" s="95" t="str">
        <x:v>D36</x:v>
      </x:c>
      <x:c r="B56" s="95" t="str">
        <x:v>Cardic Inpatients</x:v>
      </x:c>
      <x:c r="C56" s="95" t="str">
        <x:v>Collection</x:v>
      </x:c>
      <x:c r="D56" s="95" t="n">
        <x:f>COUNTIFS('Data &amp; Targets'!$C$6:$C$233,A56,'Data &amp; Targets'!$F$6:$F$233,C56,'Data &amp; Targets'!$J$6:$J$233,D$30,'Data &amp; Targets'!$K$6:$K$233,1)</x:f>
        <x:v>0</x:v>
      </x:c>
      <x:c r="E56" s="95" t="n">
        <x:f>COUNTIFS('Data &amp; Targets'!$C$6:$C$233,A56,'Data &amp; Targets'!$F$6:$F$233,C56,'Data &amp; Targets'!$J$6:$J$233,E$30,'Data &amp; Targets'!$K$6:$K$233,1)</x:f>
        <x:v>3</x:v>
      </x:c>
      <x:c r="F56" s="95" t="n">
        <x:f>COUNTIFS('Data &amp; Targets'!$C$6:$C$233,A56,'Data &amp; Targets'!$F$6:$F$233,C56,'Data &amp; Targets'!$J$6:$J$233,F$30,'Data &amp; Targets'!$K$6:$K$233,1)</x:f>
        <x:v>0</x:v>
      </x:c>
      <x:c r="G56" s="95" t="n">
        <x:f>COUNTIFS('Data &amp; Targets'!$C$6:$C$233,A56,'Data &amp; Targets'!$F$6:$F$233,C56,'Data &amp; Targets'!$J$6:$J$233,G$30,'Data &amp; Targets'!$K$6:$K$233,1)</x:f>
        <x:v>0</x:v>
      </x:c>
      <x:c r="H56" s="95" t="n">
        <x:f>COUNTIFS('Data &amp; Targets'!$C$6:$C$233,A56,'Data &amp; Targets'!$F$6:$F$233,C56,'Data &amp; Targets'!$J$6:$J$233,H$30,'Data &amp; Targets'!$K$6:$K$233,1)</x:f>
        <x:v>0</x:v>
      </x:c>
      <x:c r="I56" s="95" t="n">
        <x:f>COUNTIFS('Data &amp; Targets'!$C$6:$C$233,A56,'Data &amp; Targets'!$F$6:$F$233,C56,'Data &amp; Targets'!$J$6:$J$233,I$30,'Data &amp; Targets'!$K$6:$K$233,1)</x:f>
        <x:v>0</x:v>
      </x:c>
      <x:c r="J56" s="95" t="n">
        <x:f>COUNTIFS('Data &amp; Targets'!$C$6:$C$233,A56,'Data &amp; Targets'!$F$6:$F$233,C56,'Data &amp; Targets'!$J$6:$J$233,J$30,'Data &amp; Targets'!$K$6:$K$233,1)</x:f>
        <x:v>0</x:v>
      </x:c>
      <x:c r="K56" s="95" t="n">
        <x:f>SUM(D56:J56)</x:f>
        <x:v>3</x:v>
      </x:c>
      <x:c r="L56" s="108"/>
      <x:c r="M56" s="95" t="str">
        <x:f>IF(L56="","",K56-L56)</x:f>
      </x:c>
      <x:c r="N56" s="108"/>
    </x:row>
    <x:row r="57" ht="35" customHeight="1">
      <x:c r="A57" s="95" t="str">
        <x:v>D8</x:v>
      </x:c>
      <x:c r="B57" s="95" t="str">
        <x:v>Central Imaging</x:v>
      </x:c>
      <x:c r="C57" s="95" t="str">
        <x:v>Delivery</x:v>
      </x:c>
      <x:c r="D57" s="95" t="n">
        <x:f>COUNTIFS('Data &amp; Targets'!$C$6:$C$233,A57,'Data &amp; Targets'!$F$6:$F$233,C57,'Data &amp; Targets'!$J$6:$J$233,D$30,'Data &amp; Targets'!$K$6:$K$233,1)</x:f>
        <x:v>0</x:v>
      </x:c>
      <x:c r="E57" s="95" t="n">
        <x:f>COUNTIFS('Data &amp; Targets'!$C$6:$C$233,A57,'Data &amp; Targets'!$F$6:$F$233,C57,'Data &amp; Targets'!$J$6:$J$233,E$30,'Data &amp; Targets'!$K$6:$K$233,1)</x:f>
        <x:v>0</x:v>
      </x:c>
      <x:c r="F57" s="95" t="n">
        <x:f>COUNTIFS('Data &amp; Targets'!$C$6:$C$233,A57,'Data &amp; Targets'!$F$6:$F$233,C57,'Data &amp; Targets'!$J$6:$J$233,F$30,'Data &amp; Targets'!$K$6:$K$233,1)</x:f>
        <x:v>0</x:v>
      </x:c>
      <x:c r="G57" s="95" t="n">
        <x:f>COUNTIFS('Data &amp; Targets'!$C$6:$C$233,A57,'Data &amp; Targets'!$F$6:$F$233,C57,'Data &amp; Targets'!$J$6:$J$233,G$30,'Data &amp; Targets'!$K$6:$K$233,1)</x:f>
        <x:v>0</x:v>
      </x:c>
      <x:c r="H57" s="95" t="n">
        <x:f>COUNTIFS('Data &amp; Targets'!$C$6:$C$233,A57,'Data &amp; Targets'!$F$6:$F$233,C57,'Data &amp; Targets'!$J$6:$J$233,H$30,'Data &amp; Targets'!$K$6:$K$233,1)</x:f>
        <x:v>0</x:v>
      </x:c>
      <x:c r="I57" s="95" t="n">
        <x:f>COUNTIFS('Data &amp; Targets'!$C$6:$C$233,A57,'Data &amp; Targets'!$F$6:$F$233,C57,'Data &amp; Targets'!$J$6:$J$233,I$30,'Data &amp; Targets'!$K$6:$K$233,1)</x:f>
        <x:v>0</x:v>
      </x:c>
      <x:c r="J57" s="95" t="n">
        <x:f>COUNTIFS('Data &amp; Targets'!$C$6:$C$233,A57,'Data &amp; Targets'!$F$6:$F$233,C57,'Data &amp; Targets'!$J$6:$J$233,J$30,'Data &amp; Targets'!$K$6:$K$233,1)</x:f>
        <x:v>0</x:v>
      </x:c>
      <x:c r="K57" s="95" t="n">
        <x:f>SUM(D57:J57)</x:f>
        <x:v>0</x:v>
      </x:c>
      <x:c r="L57" s="108"/>
      <x:c r="M57" s="95" t="str">
        <x:f>IF(L57="","",K57-L57)</x:f>
      </x:c>
      <x:c r="N57" s="108"/>
    </x:row>
    <x:row r="58" ht="35" customHeight="1">
      <x:c r="A58" s="95" t="str">
        <x:v>D8</x:v>
      </x:c>
      <x:c r="B58" s="95" t="str">
        <x:v>Central Imaging</x:v>
      </x:c>
      <x:c r="C58" s="95" t="str">
        <x:v>Collection</x:v>
      </x:c>
      <x:c r="D58" s="95" t="n">
        <x:f>COUNTIFS('Data &amp; Targets'!$C$6:$C$233,A58,'Data &amp; Targets'!$F$6:$F$233,C58,'Data &amp; Targets'!$J$6:$J$233,D$30,'Data &amp; Targets'!$K$6:$K$233,1)</x:f>
        <x:v>0</x:v>
      </x:c>
      <x:c r="E58" s="95" t="n">
        <x:f>COUNTIFS('Data &amp; Targets'!$C$6:$C$233,A58,'Data &amp; Targets'!$F$6:$F$233,C58,'Data &amp; Targets'!$J$6:$J$233,E$30,'Data &amp; Targets'!$K$6:$K$233,1)</x:f>
        <x:v>0</x:v>
      </x:c>
      <x:c r="F58" s="95" t="n">
        <x:f>COUNTIFS('Data &amp; Targets'!$C$6:$C$233,A58,'Data &amp; Targets'!$F$6:$F$233,C58,'Data &amp; Targets'!$J$6:$J$233,F$30,'Data &amp; Targets'!$K$6:$K$233,1)</x:f>
        <x:v>0</x:v>
      </x:c>
      <x:c r="G58" s="95" t="n">
        <x:f>COUNTIFS('Data &amp; Targets'!$C$6:$C$233,A58,'Data &amp; Targets'!$F$6:$F$233,C58,'Data &amp; Targets'!$J$6:$J$233,G$30,'Data &amp; Targets'!$K$6:$K$233,1)</x:f>
        <x:v>0</x:v>
      </x:c>
      <x:c r="H58" s="95" t="n">
        <x:f>COUNTIFS('Data &amp; Targets'!$C$6:$C$233,A58,'Data &amp; Targets'!$F$6:$F$233,C58,'Data &amp; Targets'!$J$6:$J$233,H$30,'Data &amp; Targets'!$K$6:$K$233,1)</x:f>
        <x:v>0</x:v>
      </x:c>
      <x:c r="I58" s="95" t="n">
        <x:f>COUNTIFS('Data &amp; Targets'!$C$6:$C$233,A58,'Data &amp; Targets'!$F$6:$F$233,C58,'Data &amp; Targets'!$J$6:$J$233,I$30,'Data &amp; Targets'!$K$6:$K$233,1)</x:f>
        <x:v>0</x:v>
      </x:c>
      <x:c r="J58" s="95" t="n">
        <x:f>COUNTIFS('Data &amp; Targets'!$C$6:$C$233,A58,'Data &amp; Targets'!$F$6:$F$233,C58,'Data &amp; Targets'!$J$6:$J$233,J$30,'Data &amp; Targets'!$K$6:$K$233,1)</x:f>
        <x:v>0</x:v>
      </x:c>
      <x:c r="K58" s="95" t="n">
        <x:f>SUM(D58:J58)</x:f>
        <x:v>0</x:v>
      </x:c>
      <x:c r="L58" s="108"/>
      <x:c r="M58" s="95" t="str">
        <x:f>IF(L58="","",K58-L58)</x:f>
      </x:c>
      <x:c r="N58" s="108"/>
    </x:row>
    <x:row r="59" ht="35" customHeight="1">
      <x:c r="A59" s="95" t="str">
        <x:v>D14</x:v>
      </x:c>
      <x:c r="B59" s="95" t="str">
        <x:v>ED-Imaging</x:v>
      </x:c>
      <x:c r="C59" s="95" t="str">
        <x:v>Delivery</x:v>
      </x:c>
      <x:c r="D59" s="95" t="n">
        <x:f>COUNTIFS('Data &amp; Targets'!$C$6:$C$233,A59,'Data &amp; Targets'!$F$6:$F$233,C59,'Data &amp; Targets'!$J$6:$J$233,D$30,'Data &amp; Targets'!$K$6:$K$233,1)</x:f>
        <x:v>3</x:v>
      </x:c>
      <x:c r="E59" s="95" t="n">
        <x:f>COUNTIFS('Data &amp; Targets'!$C$6:$C$233,A59,'Data &amp; Targets'!$F$6:$F$233,C59,'Data &amp; Targets'!$J$6:$J$233,E$30,'Data &amp; Targets'!$K$6:$K$233,1)</x:f>
        <x:v>0</x:v>
      </x:c>
      <x:c r="F59" s="95" t="n">
        <x:f>COUNTIFS('Data &amp; Targets'!$C$6:$C$233,A59,'Data &amp; Targets'!$F$6:$F$233,C59,'Data &amp; Targets'!$J$6:$J$233,F$30,'Data &amp; Targets'!$K$6:$K$233,1)</x:f>
        <x:v>0</x:v>
      </x:c>
      <x:c r="G59" s="95" t="n">
        <x:f>COUNTIFS('Data &amp; Targets'!$C$6:$C$233,A59,'Data &amp; Targets'!$F$6:$F$233,C59,'Data &amp; Targets'!$J$6:$J$233,G$30,'Data &amp; Targets'!$K$6:$K$233,1)</x:f>
        <x:v>0</x:v>
      </x:c>
      <x:c r="H59" s="95" t="n">
        <x:f>COUNTIFS('Data &amp; Targets'!$C$6:$C$233,A59,'Data &amp; Targets'!$F$6:$F$233,C59,'Data &amp; Targets'!$J$6:$J$233,H$30,'Data &amp; Targets'!$K$6:$K$233,1)</x:f>
        <x:v>0</x:v>
      </x:c>
      <x:c r="I59" s="95" t="n">
        <x:f>COUNTIFS('Data &amp; Targets'!$C$6:$C$233,A59,'Data &amp; Targets'!$F$6:$F$233,C59,'Data &amp; Targets'!$J$6:$J$233,I$30,'Data &amp; Targets'!$K$6:$K$233,1)</x:f>
        <x:v>0</x:v>
      </x:c>
      <x:c r="J59" s="95" t="n">
        <x:f>COUNTIFS('Data &amp; Targets'!$C$6:$C$233,A59,'Data &amp; Targets'!$F$6:$F$233,C59,'Data &amp; Targets'!$J$6:$J$233,J$30,'Data &amp; Targets'!$K$6:$K$233,1)</x:f>
        <x:v>0</x:v>
      </x:c>
      <x:c r="K59" s="95" t="n">
        <x:f>SUM(D59:J59)</x:f>
        <x:v>3</x:v>
      </x:c>
      <x:c r="L59" s="108"/>
      <x:c r="M59" s="95" t="str">
        <x:f>IF(L59="","",K59-L59)</x:f>
      </x:c>
      <x:c r="N59" s="108"/>
    </x:row>
    <x:row r="60" ht="35" customHeight="1">
      <x:c r="A60" s="95" t="str">
        <x:v>D14</x:v>
      </x:c>
      <x:c r="B60" s="95" t="str">
        <x:v>ED-Imaging</x:v>
      </x:c>
      <x:c r="C60" s="95" t="str">
        <x:v>Collection</x:v>
      </x:c>
      <x:c r="D60" s="95" t="n">
        <x:f>COUNTIFS('Data &amp; Targets'!$C$6:$C$233,A60,'Data &amp; Targets'!$F$6:$F$233,C60,'Data &amp; Targets'!$J$6:$J$233,D$30,'Data &amp; Targets'!$K$6:$K$233,1)</x:f>
        <x:v>3</x:v>
      </x:c>
      <x:c r="E60" s="95" t="n">
        <x:f>COUNTIFS('Data &amp; Targets'!$C$6:$C$233,A60,'Data &amp; Targets'!$F$6:$F$233,C60,'Data &amp; Targets'!$J$6:$J$233,E$30,'Data &amp; Targets'!$K$6:$K$233,1)</x:f>
        <x:v>0</x:v>
      </x:c>
      <x:c r="F60" s="95" t="n">
        <x:f>COUNTIFS('Data &amp; Targets'!$C$6:$C$233,A60,'Data &amp; Targets'!$F$6:$F$233,C60,'Data &amp; Targets'!$J$6:$J$233,F$30,'Data &amp; Targets'!$K$6:$K$233,1)</x:f>
        <x:v>0</x:v>
      </x:c>
      <x:c r="G60" s="95" t="n">
        <x:f>COUNTIFS('Data &amp; Targets'!$C$6:$C$233,A60,'Data &amp; Targets'!$F$6:$F$233,C60,'Data &amp; Targets'!$J$6:$J$233,G$30,'Data &amp; Targets'!$K$6:$K$233,1)</x:f>
        <x:v>0</x:v>
      </x:c>
      <x:c r="H60" s="95" t="n">
        <x:f>COUNTIFS('Data &amp; Targets'!$C$6:$C$233,A60,'Data &amp; Targets'!$F$6:$F$233,C60,'Data &amp; Targets'!$J$6:$J$233,H$30,'Data &amp; Targets'!$K$6:$K$233,1)</x:f>
        <x:v>0</x:v>
      </x:c>
      <x:c r="I60" s="95" t="n">
        <x:f>COUNTIFS('Data &amp; Targets'!$C$6:$C$233,A60,'Data &amp; Targets'!$F$6:$F$233,C60,'Data &amp; Targets'!$J$6:$J$233,I$30,'Data &amp; Targets'!$K$6:$K$233,1)</x:f>
        <x:v>0</x:v>
      </x:c>
      <x:c r="J60" s="95" t="n">
        <x:f>COUNTIFS('Data &amp; Targets'!$C$6:$C$233,A60,'Data &amp; Targets'!$F$6:$F$233,C60,'Data &amp; Targets'!$J$6:$J$233,J$30,'Data &amp; Targets'!$K$6:$K$233,1)</x:f>
        <x:v>0</x:v>
      </x:c>
      <x:c r="K60" s="95" t="n">
        <x:f>SUM(D60:J60)</x:f>
        <x:v>3</x:v>
      </x:c>
      <x:c r="L60" s="108"/>
      <x:c r="M60" s="95" t="str">
        <x:f>IF(L60="","",K60-L60)</x:f>
      </x:c>
      <x:c r="N60" s="108"/>
    </x:row>
    <x:row r="61" ht="35" customHeight="1">
      <x:c r="A61" s="95" t="str">
        <x:v>D12</x:v>
      </x:c>
      <x:c r="B61" s="95" t="str">
        <x:v>ED-Majors</x:v>
      </x:c>
      <x:c r="C61" s="95" t="str">
        <x:v>Delivery</x:v>
      </x:c>
      <x:c r="D61" s="95" t="n">
        <x:f>COUNTIFS('Data &amp; Targets'!$C$6:$C$233,A61,'Data &amp; Targets'!$F$6:$F$233,C61,'Data &amp; Targets'!$J$6:$J$233,D$30,'Data &amp; Targets'!$K$6:$K$233,1)</x:f>
        <x:v>0</x:v>
      </x:c>
      <x:c r="E61" s="95" t="n">
        <x:f>COUNTIFS('Data &amp; Targets'!$C$6:$C$233,A61,'Data &amp; Targets'!$F$6:$F$233,C61,'Data &amp; Targets'!$J$6:$J$233,E$30,'Data &amp; Targets'!$K$6:$K$233,1)</x:f>
        <x:v>0</x:v>
      </x:c>
      <x:c r="F61" s="95" t="n">
        <x:f>COUNTIFS('Data &amp; Targets'!$C$6:$C$233,A61,'Data &amp; Targets'!$F$6:$F$233,C61,'Data &amp; Targets'!$J$6:$J$233,F$30,'Data &amp; Targets'!$K$6:$K$233,1)</x:f>
        <x:v>3</x:v>
      </x:c>
      <x:c r="G61" s="95" t="n">
        <x:f>COUNTIFS('Data &amp; Targets'!$C$6:$C$233,A61,'Data &amp; Targets'!$F$6:$F$233,C61,'Data &amp; Targets'!$J$6:$J$233,G$30,'Data &amp; Targets'!$K$6:$K$233,1)</x:f>
        <x:v>0</x:v>
      </x:c>
      <x:c r="H61" s="95" t="n">
        <x:f>COUNTIFS('Data &amp; Targets'!$C$6:$C$233,A61,'Data &amp; Targets'!$F$6:$F$233,C61,'Data &amp; Targets'!$J$6:$J$233,H$30,'Data &amp; Targets'!$K$6:$K$233,1)</x:f>
        <x:v>3</x:v>
      </x:c>
      <x:c r="I61" s="95" t="n">
        <x:f>COUNTIFS('Data &amp; Targets'!$C$6:$C$233,A61,'Data &amp; Targets'!$F$6:$F$233,C61,'Data &amp; Targets'!$J$6:$J$233,I$30,'Data &amp; Targets'!$K$6:$K$233,1)</x:f>
        <x:v>0</x:v>
      </x:c>
      <x:c r="J61" s="95" t="n">
        <x:f>COUNTIFS('Data &amp; Targets'!$C$6:$C$233,A61,'Data &amp; Targets'!$F$6:$F$233,C61,'Data &amp; Targets'!$J$6:$J$233,J$30,'Data &amp; Targets'!$K$6:$K$233,1)</x:f>
        <x:v>0</x:v>
      </x:c>
      <x:c r="K61" s="95" t="n">
        <x:f>SUM(D61:J61)</x:f>
        <x:v>6</x:v>
      </x:c>
      <x:c r="L61" s="108"/>
      <x:c r="M61" s="95" t="str">
        <x:f>IF(L61="","",K61-L61)</x:f>
      </x:c>
      <x:c r="N61" s="108"/>
    </x:row>
    <x:row r="62" ht="35" customHeight="1">
      <x:c r="A62" s="95" t="str">
        <x:v>D12</x:v>
      </x:c>
      <x:c r="B62" s="95" t="str">
        <x:v>ED-Majors</x:v>
      </x:c>
      <x:c r="C62" s="95" t="str">
        <x:v>Collection</x:v>
      </x:c>
      <x:c r="D62" s="95" t="n">
        <x:f>COUNTIFS('Data &amp; Targets'!$C$6:$C$233,A62,'Data &amp; Targets'!$F$6:$F$233,C62,'Data &amp; Targets'!$J$6:$J$233,D$30,'Data &amp; Targets'!$K$6:$K$233,1)</x:f>
        <x:v>0</x:v>
      </x:c>
      <x:c r="E62" s="95" t="n">
        <x:f>COUNTIFS('Data &amp; Targets'!$C$6:$C$233,A62,'Data &amp; Targets'!$F$6:$F$233,C62,'Data &amp; Targets'!$J$6:$J$233,E$30,'Data &amp; Targets'!$K$6:$K$233,1)</x:f>
        <x:v>0</x:v>
      </x:c>
      <x:c r="F62" s="95" t="n">
        <x:f>COUNTIFS('Data &amp; Targets'!$C$6:$C$233,A62,'Data &amp; Targets'!$F$6:$F$233,C62,'Data &amp; Targets'!$J$6:$J$233,F$30,'Data &amp; Targets'!$K$6:$K$233,1)</x:f>
        <x:v>3</x:v>
      </x:c>
      <x:c r="G62" s="95" t="n">
        <x:f>COUNTIFS('Data &amp; Targets'!$C$6:$C$233,A62,'Data &amp; Targets'!$F$6:$F$233,C62,'Data &amp; Targets'!$J$6:$J$233,G$30,'Data &amp; Targets'!$K$6:$K$233,1)</x:f>
        <x:v>0</x:v>
      </x:c>
      <x:c r="H62" s="95" t="n">
        <x:f>COUNTIFS('Data &amp; Targets'!$C$6:$C$233,A62,'Data &amp; Targets'!$F$6:$F$233,C62,'Data &amp; Targets'!$J$6:$J$233,H$30,'Data &amp; Targets'!$K$6:$K$233,1)</x:f>
        <x:v>3</x:v>
      </x:c>
      <x:c r="I62" s="95" t="n">
        <x:f>COUNTIFS('Data &amp; Targets'!$C$6:$C$233,A62,'Data &amp; Targets'!$F$6:$F$233,C62,'Data &amp; Targets'!$J$6:$J$233,I$30,'Data &amp; Targets'!$K$6:$K$233,1)</x:f>
        <x:v>0</x:v>
      </x:c>
      <x:c r="J62" s="95" t="n">
        <x:f>COUNTIFS('Data &amp; Targets'!$C$6:$C$233,A62,'Data &amp; Targets'!$F$6:$F$233,C62,'Data &amp; Targets'!$J$6:$J$233,J$30,'Data &amp; Targets'!$K$6:$K$233,1)</x:f>
        <x:v>0</x:v>
      </x:c>
      <x:c r="K62" s="95" t="n">
        <x:f>SUM(D62:J62)</x:f>
        <x:v>6</x:v>
      </x:c>
      <x:c r="L62" s="108"/>
      <x:c r="M62" s="95" t="str">
        <x:f>IF(L62="","",K62-L62)</x:f>
      </x:c>
      <x:c r="N62" s="108"/>
    </x:row>
    <x:row r="63" ht="35" customHeight="1">
      <x:c r="A63" s="95" t="str">
        <x:v>D13</x:v>
      </x:c>
      <x:c r="B63" s="95" t="str">
        <x:v>ED-Paediatrics</x:v>
      </x:c>
      <x:c r="C63" s="95" t="str">
        <x:v>Delivery</x:v>
      </x:c>
      <x:c r="D63" s="95" t="n">
        <x:f>COUNTIFS('Data &amp; Targets'!$C$6:$C$233,A63,'Data &amp; Targets'!$F$6:$F$233,C63,'Data &amp; Targets'!$J$6:$J$233,D$30,'Data &amp; Targets'!$K$6:$K$233,1)</x:f>
        <x:v>0</x:v>
      </x:c>
      <x:c r="E63" s="95" t="n">
        <x:f>COUNTIFS('Data &amp; Targets'!$C$6:$C$233,A63,'Data &amp; Targets'!$F$6:$F$233,C63,'Data &amp; Targets'!$J$6:$J$233,E$30,'Data &amp; Targets'!$K$6:$K$233,1)</x:f>
        <x:v>3</x:v>
      </x:c>
      <x:c r="F63" s="95" t="n">
        <x:f>COUNTIFS('Data &amp; Targets'!$C$6:$C$233,A63,'Data &amp; Targets'!$F$6:$F$233,C63,'Data &amp; Targets'!$J$6:$J$233,F$30,'Data &amp; Targets'!$K$6:$K$233,1)</x:f>
        <x:v>0</x:v>
      </x:c>
      <x:c r="G63" s="95" t="n">
        <x:f>COUNTIFS('Data &amp; Targets'!$C$6:$C$233,A63,'Data &amp; Targets'!$F$6:$F$233,C63,'Data &amp; Targets'!$J$6:$J$233,G$30,'Data &amp; Targets'!$K$6:$K$233,1)</x:f>
        <x:v>0</x:v>
      </x:c>
      <x:c r="H63" s="95" t="n">
        <x:f>COUNTIFS('Data &amp; Targets'!$C$6:$C$233,A63,'Data &amp; Targets'!$F$6:$F$233,C63,'Data &amp; Targets'!$J$6:$J$233,H$30,'Data &amp; Targets'!$K$6:$K$233,1)</x:f>
        <x:v>0</x:v>
      </x:c>
      <x:c r="I63" s="95" t="n">
        <x:f>COUNTIFS('Data &amp; Targets'!$C$6:$C$233,A63,'Data &amp; Targets'!$F$6:$F$233,C63,'Data &amp; Targets'!$J$6:$J$233,I$30,'Data &amp; Targets'!$K$6:$K$233,1)</x:f>
        <x:v>0</x:v>
      </x:c>
      <x:c r="J63" s="95" t="n">
        <x:f>COUNTIFS('Data &amp; Targets'!$C$6:$C$233,A63,'Data &amp; Targets'!$F$6:$F$233,C63,'Data &amp; Targets'!$J$6:$J$233,J$30,'Data &amp; Targets'!$K$6:$K$233,1)</x:f>
        <x:v>0</x:v>
      </x:c>
      <x:c r="K63" s="95" t="n">
        <x:f>SUM(D63:J63)</x:f>
        <x:v>3</x:v>
      </x:c>
      <x:c r="L63" s="108"/>
      <x:c r="M63" s="95" t="str">
        <x:f>IF(L63="","",K63-L63)</x:f>
      </x:c>
      <x:c r="N63" s="108"/>
    </x:row>
    <x:row r="64" ht="35" customHeight="1">
      <x:c r="A64" s="95" t="str">
        <x:v>D13</x:v>
      </x:c>
      <x:c r="B64" s="95" t="str">
        <x:v>ED-Paediatrics</x:v>
      </x:c>
      <x:c r="C64" s="95" t="str">
        <x:v>Collection</x:v>
      </x:c>
      <x:c r="D64" s="95" t="n">
        <x:f>COUNTIFS('Data &amp; Targets'!$C$6:$C$233,A64,'Data &amp; Targets'!$F$6:$F$233,C64,'Data &amp; Targets'!$J$6:$J$233,D$30,'Data &amp; Targets'!$K$6:$K$233,1)</x:f>
        <x:v>0</x:v>
      </x:c>
      <x:c r="E64" s="95" t="n">
        <x:f>COUNTIFS('Data &amp; Targets'!$C$6:$C$233,A64,'Data &amp; Targets'!$F$6:$F$233,C64,'Data &amp; Targets'!$J$6:$J$233,E$30,'Data &amp; Targets'!$K$6:$K$233,1)</x:f>
        <x:v>3</x:v>
      </x:c>
      <x:c r="F64" s="95" t="n">
        <x:f>COUNTIFS('Data &amp; Targets'!$C$6:$C$233,A64,'Data &amp; Targets'!$F$6:$F$233,C64,'Data &amp; Targets'!$J$6:$J$233,F$30,'Data &amp; Targets'!$K$6:$K$233,1)</x:f>
        <x:v>0</x:v>
      </x:c>
      <x:c r="G64" s="95" t="n">
        <x:f>COUNTIFS('Data &amp; Targets'!$C$6:$C$233,A64,'Data &amp; Targets'!$F$6:$F$233,C64,'Data &amp; Targets'!$J$6:$J$233,G$30,'Data &amp; Targets'!$K$6:$K$233,1)</x:f>
        <x:v>0</x:v>
      </x:c>
      <x:c r="H64" s="95" t="n">
        <x:f>COUNTIFS('Data &amp; Targets'!$C$6:$C$233,A64,'Data &amp; Targets'!$F$6:$F$233,C64,'Data &amp; Targets'!$J$6:$J$233,H$30,'Data &amp; Targets'!$K$6:$K$233,1)</x:f>
        <x:v>0</x:v>
      </x:c>
      <x:c r="I64" s="95" t="n">
        <x:f>COUNTIFS('Data &amp; Targets'!$C$6:$C$233,A64,'Data &amp; Targets'!$F$6:$F$233,C64,'Data &amp; Targets'!$J$6:$J$233,I$30,'Data &amp; Targets'!$K$6:$K$233,1)</x:f>
        <x:v>0</x:v>
      </x:c>
      <x:c r="J64" s="95" t="n">
        <x:f>COUNTIFS('Data &amp; Targets'!$C$6:$C$233,A64,'Data &amp; Targets'!$F$6:$F$233,C64,'Data &amp; Targets'!$J$6:$J$233,J$30,'Data &amp; Targets'!$K$6:$K$233,1)</x:f>
        <x:v>0</x:v>
      </x:c>
      <x:c r="K64" s="95" t="n">
        <x:f>SUM(D64:J64)</x:f>
        <x:v>3</x:v>
      </x:c>
      <x:c r="L64" s="108"/>
      <x:c r="M64" s="95" t="str">
        <x:f>IF(L64="","",K64-L64)</x:f>
      </x:c>
      <x:c r="N64" s="108"/>
    </x:row>
    <x:row r="65" ht="35" customHeight="1">
      <x:c r="A65" s="95" t="str">
        <x:v>D11</x:v>
      </x:c>
      <x:c r="B65" s="95" t="str">
        <x:v>ED-Resus</x:v>
      </x:c>
      <x:c r="C65" s="95" t="str">
        <x:v>Delivery</x:v>
      </x:c>
      <x:c r="D65" s="95" t="n">
        <x:f>COUNTIFS('Data &amp; Targets'!$C$6:$C$233,A65,'Data &amp; Targets'!$F$6:$F$233,C65,'Data &amp; Targets'!$J$6:$J$233,D$30,'Data &amp; Targets'!$K$6:$K$233,1)</x:f>
        <x:v>0</x:v>
      </x:c>
      <x:c r="E65" s="95" t="n">
        <x:f>COUNTIFS('Data &amp; Targets'!$C$6:$C$233,A65,'Data &amp; Targets'!$F$6:$F$233,C65,'Data &amp; Targets'!$J$6:$J$233,E$30,'Data &amp; Targets'!$K$6:$K$233,1)</x:f>
        <x:v>3</x:v>
      </x:c>
      <x:c r="F65" s="95" t="n">
        <x:f>COUNTIFS('Data &amp; Targets'!$C$6:$C$233,A65,'Data &amp; Targets'!$F$6:$F$233,C65,'Data &amp; Targets'!$J$6:$J$233,F$30,'Data &amp; Targets'!$K$6:$K$233,1)</x:f>
        <x:v>0</x:v>
      </x:c>
      <x:c r="G65" s="95" t="n">
        <x:f>COUNTIFS('Data &amp; Targets'!$C$6:$C$233,A65,'Data &amp; Targets'!$F$6:$F$233,C65,'Data &amp; Targets'!$J$6:$J$233,G$30,'Data &amp; Targets'!$K$6:$K$233,1)</x:f>
        <x:v>0</x:v>
      </x:c>
      <x:c r="H65" s="95" t="n">
        <x:f>COUNTIFS('Data &amp; Targets'!$C$6:$C$233,A65,'Data &amp; Targets'!$F$6:$F$233,C65,'Data &amp; Targets'!$J$6:$J$233,H$30,'Data &amp; Targets'!$K$6:$K$233,1)</x:f>
        <x:v>0</x:v>
      </x:c>
      <x:c r="I65" s="95" t="n">
        <x:f>COUNTIFS('Data &amp; Targets'!$C$6:$C$233,A65,'Data &amp; Targets'!$F$6:$F$233,C65,'Data &amp; Targets'!$J$6:$J$233,I$30,'Data &amp; Targets'!$K$6:$K$233,1)</x:f>
        <x:v>0</x:v>
      </x:c>
      <x:c r="J65" s="95" t="n">
        <x:f>COUNTIFS('Data &amp; Targets'!$C$6:$C$233,A65,'Data &amp; Targets'!$F$6:$F$233,C65,'Data &amp; Targets'!$J$6:$J$233,J$30,'Data &amp; Targets'!$K$6:$K$233,1)</x:f>
        <x:v>0</x:v>
      </x:c>
      <x:c r="K65" s="95" t="n">
        <x:f>SUM(D65:J65)</x:f>
        <x:v>3</x:v>
      </x:c>
      <x:c r="L65" s="108"/>
      <x:c r="M65" s="95" t="str">
        <x:f>IF(L65="","",K65-L65)</x:f>
      </x:c>
      <x:c r="N65" s="108"/>
    </x:row>
    <x:row r="66" ht="35" customHeight="1">
      <x:c r="A66" s="95" t="str">
        <x:v>D11</x:v>
      </x:c>
      <x:c r="B66" s="95" t="str">
        <x:v>ED-Resus</x:v>
      </x:c>
      <x:c r="C66" s="95" t="str">
        <x:v>Collection</x:v>
      </x:c>
      <x:c r="D66" s="95" t="n">
        <x:f>COUNTIFS('Data &amp; Targets'!$C$6:$C$233,A66,'Data &amp; Targets'!$F$6:$F$233,C66,'Data &amp; Targets'!$J$6:$J$233,D$30,'Data &amp; Targets'!$K$6:$K$233,1)</x:f>
        <x:v>0</x:v>
      </x:c>
      <x:c r="E66" s="95" t="n">
        <x:f>COUNTIFS('Data &amp; Targets'!$C$6:$C$233,A66,'Data &amp; Targets'!$F$6:$F$233,C66,'Data &amp; Targets'!$J$6:$J$233,E$30,'Data &amp; Targets'!$K$6:$K$233,1)</x:f>
        <x:v>3</x:v>
      </x:c>
      <x:c r="F66" s="95" t="n">
        <x:f>COUNTIFS('Data &amp; Targets'!$C$6:$C$233,A66,'Data &amp; Targets'!$F$6:$F$233,C66,'Data &amp; Targets'!$J$6:$J$233,F$30,'Data &amp; Targets'!$K$6:$K$233,1)</x:f>
        <x:v>0</x:v>
      </x:c>
      <x:c r="G66" s="95" t="n">
        <x:f>COUNTIFS('Data &amp; Targets'!$C$6:$C$233,A66,'Data &amp; Targets'!$F$6:$F$233,C66,'Data &amp; Targets'!$J$6:$J$233,G$30,'Data &amp; Targets'!$K$6:$K$233,1)</x:f>
        <x:v>0</x:v>
      </x:c>
      <x:c r="H66" s="95" t="n">
        <x:f>COUNTIFS('Data &amp; Targets'!$C$6:$C$233,A66,'Data &amp; Targets'!$F$6:$F$233,C66,'Data &amp; Targets'!$J$6:$J$233,H$30,'Data &amp; Targets'!$K$6:$K$233,1)</x:f>
        <x:v>0</x:v>
      </x:c>
      <x:c r="I66" s="95" t="n">
        <x:f>COUNTIFS('Data &amp; Targets'!$C$6:$C$233,A66,'Data &amp; Targets'!$F$6:$F$233,C66,'Data &amp; Targets'!$J$6:$J$233,I$30,'Data &amp; Targets'!$K$6:$K$233,1)</x:f>
        <x:v>0</x:v>
      </x:c>
      <x:c r="J66" s="95" t="n">
        <x:f>COUNTIFS('Data &amp; Targets'!$C$6:$C$233,A66,'Data &amp; Targets'!$F$6:$F$233,C66,'Data &amp; Targets'!$J$6:$J$233,J$30,'Data &amp; Targets'!$K$6:$K$233,1)</x:f>
        <x:v>0</x:v>
      </x:c>
      <x:c r="K66" s="95" t="n">
        <x:f>SUM(D66:J66)</x:f>
        <x:v>3</x:v>
      </x:c>
      <x:c r="L66" s="108"/>
      <x:c r="M66" s="95" t="str">
        <x:f>IF(L66="","",K66-L66)</x:f>
      </x:c>
      <x:c r="N66" s="108"/>
    </x:row>
    <x:row r="67" ht="35" customHeight="1">
      <x:c r="A67" s="95" t="str">
        <x:v>D38</x:v>
      </x:c>
      <x:c r="B67" s="95" t="str">
        <x:v>Elective Orthopaedic Inpatients</x:v>
      </x:c>
      <x:c r="C67" s="95" t="str">
        <x:v>Delivery</x:v>
      </x:c>
      <x:c r="D67" s="95" t="n">
        <x:f>COUNTIFS('Data &amp; Targets'!$C$6:$C$233,A67,'Data &amp; Targets'!$F$6:$F$233,C67,'Data &amp; Targets'!$J$6:$J$233,D$30,'Data &amp; Targets'!$K$6:$K$233,1)</x:f>
        <x:v>3</x:v>
      </x:c>
      <x:c r="E67" s="95" t="n">
        <x:f>COUNTIFS('Data &amp; Targets'!$C$6:$C$233,A67,'Data &amp; Targets'!$F$6:$F$233,C67,'Data &amp; Targets'!$J$6:$J$233,E$30,'Data &amp; Targets'!$K$6:$K$233,1)</x:f>
        <x:v>0</x:v>
      </x:c>
      <x:c r="F67" s="95" t="n">
        <x:f>COUNTIFS('Data &amp; Targets'!$C$6:$C$233,A67,'Data &amp; Targets'!$F$6:$F$233,C67,'Data &amp; Targets'!$J$6:$J$233,F$30,'Data &amp; Targets'!$K$6:$K$233,1)</x:f>
        <x:v>0</x:v>
      </x:c>
      <x:c r="G67" s="95" t="n">
        <x:f>COUNTIFS('Data &amp; Targets'!$C$6:$C$233,A67,'Data &amp; Targets'!$F$6:$F$233,C67,'Data &amp; Targets'!$J$6:$J$233,G$30,'Data &amp; Targets'!$K$6:$K$233,1)</x:f>
        <x:v>0</x:v>
      </x:c>
      <x:c r="H67" s="95" t="n">
        <x:f>COUNTIFS('Data &amp; Targets'!$C$6:$C$233,A67,'Data &amp; Targets'!$F$6:$F$233,C67,'Data &amp; Targets'!$J$6:$J$233,H$30,'Data &amp; Targets'!$K$6:$K$233,1)</x:f>
        <x:v>0</x:v>
      </x:c>
      <x:c r="I67" s="95" t="n">
        <x:f>COUNTIFS('Data &amp; Targets'!$C$6:$C$233,A67,'Data &amp; Targets'!$F$6:$F$233,C67,'Data &amp; Targets'!$J$6:$J$233,I$30,'Data &amp; Targets'!$K$6:$K$233,1)</x:f>
        <x:v>0</x:v>
      </x:c>
      <x:c r="J67" s="95" t="n">
        <x:f>COUNTIFS('Data &amp; Targets'!$C$6:$C$233,A67,'Data &amp; Targets'!$F$6:$F$233,C67,'Data &amp; Targets'!$J$6:$J$233,J$30,'Data &amp; Targets'!$K$6:$K$233,1)</x:f>
        <x:v>0</x:v>
      </x:c>
      <x:c r="K67" s="95" t="n">
        <x:f>SUM(D67:J67)</x:f>
        <x:v>3</x:v>
      </x:c>
      <x:c r="L67" s="108"/>
      <x:c r="M67" s="95" t="str">
        <x:f>IF(L67="","",K67-L67)</x:f>
      </x:c>
      <x:c r="N67" s="108"/>
    </x:row>
    <x:row r="68" ht="35" customHeight="1">
      <x:c r="A68" s="95" t="str">
        <x:v>D38</x:v>
      </x:c>
      <x:c r="B68" s="95" t="str">
        <x:v>Elective Orthopaedic Inpatients</x:v>
      </x:c>
      <x:c r="C68" s="95" t="str">
        <x:v>Collection</x:v>
      </x:c>
      <x:c r="D68" s="95" t="n">
        <x:f>COUNTIFS('Data &amp; Targets'!$C$6:$C$233,A68,'Data &amp; Targets'!$F$6:$F$233,C68,'Data &amp; Targets'!$J$6:$J$233,D$30,'Data &amp; Targets'!$K$6:$K$233,1)</x:f>
        <x:v>3</x:v>
      </x:c>
      <x:c r="E68" s="95" t="n">
        <x:f>COUNTIFS('Data &amp; Targets'!$C$6:$C$233,A68,'Data &amp; Targets'!$F$6:$F$233,C68,'Data &amp; Targets'!$J$6:$J$233,E$30,'Data &amp; Targets'!$K$6:$K$233,1)</x:f>
        <x:v>0</x:v>
      </x:c>
      <x:c r="F68" s="95" t="n">
        <x:f>COUNTIFS('Data &amp; Targets'!$C$6:$C$233,A68,'Data &amp; Targets'!$F$6:$F$233,C68,'Data &amp; Targets'!$J$6:$J$233,F$30,'Data &amp; Targets'!$K$6:$K$233,1)</x:f>
        <x:v>0</x:v>
      </x:c>
      <x:c r="G68" s="95" t="n">
        <x:f>COUNTIFS('Data &amp; Targets'!$C$6:$C$233,A68,'Data &amp; Targets'!$F$6:$F$233,C68,'Data &amp; Targets'!$J$6:$J$233,G$30,'Data &amp; Targets'!$K$6:$K$233,1)</x:f>
        <x:v>0</x:v>
      </x:c>
      <x:c r="H68" s="95" t="n">
        <x:f>COUNTIFS('Data &amp; Targets'!$C$6:$C$233,A68,'Data &amp; Targets'!$F$6:$F$233,C68,'Data &amp; Targets'!$J$6:$J$233,H$30,'Data &amp; Targets'!$K$6:$K$233,1)</x:f>
        <x:v>0</x:v>
      </x:c>
      <x:c r="I68" s="95" t="n">
        <x:f>COUNTIFS('Data &amp; Targets'!$C$6:$C$233,A68,'Data &amp; Targets'!$F$6:$F$233,C68,'Data &amp; Targets'!$J$6:$J$233,I$30,'Data &amp; Targets'!$K$6:$K$233,1)</x:f>
        <x:v>0</x:v>
      </x:c>
      <x:c r="J68" s="95" t="n">
        <x:f>COUNTIFS('Data &amp; Targets'!$C$6:$C$233,A68,'Data &amp; Targets'!$F$6:$F$233,C68,'Data &amp; Targets'!$J$6:$J$233,J$30,'Data &amp; Targets'!$K$6:$K$233,1)</x:f>
        <x:v>0</x:v>
      </x:c>
      <x:c r="K68" s="95" t="n">
        <x:f>SUM(D68:J68)</x:f>
        <x:v>3</x:v>
      </x:c>
      <x:c r="L68" s="108"/>
      <x:c r="M68" s="95" t="str">
        <x:f>IF(L68="","",K68-L68)</x:f>
      </x:c>
      <x:c r="N68" s="108"/>
    </x:row>
    <x:row r="69" ht="35" customHeight="1">
      <x:c r="A69" s="95" t="str">
        <x:v>D22</x:v>
      </x:c>
      <x:c r="B69" s="95" t="str">
        <x:v>Endoscopy</x:v>
      </x:c>
      <x:c r="C69" s="95" t="str">
        <x:v>Delivery</x:v>
      </x:c>
      <x:c r="D69" s="95" t="n">
        <x:f>COUNTIFS('Data &amp; Targets'!$C$6:$C$233,A69,'Data &amp; Targets'!$F$6:$F$233,C69,'Data &amp; Targets'!$J$6:$J$233,D$30,'Data &amp; Targets'!$K$6:$K$233,1)</x:f>
        <x:v>3</x:v>
      </x:c>
      <x:c r="E69" s="95" t="n">
        <x:f>COUNTIFS('Data &amp; Targets'!$C$6:$C$233,A69,'Data &amp; Targets'!$F$6:$F$233,C69,'Data &amp; Targets'!$J$6:$J$233,E$30,'Data &amp; Targets'!$K$6:$K$233,1)</x:f>
        <x:v>0</x:v>
      </x:c>
      <x:c r="F69" s="95" t="n">
        <x:f>COUNTIFS('Data &amp; Targets'!$C$6:$C$233,A69,'Data &amp; Targets'!$F$6:$F$233,C69,'Data &amp; Targets'!$J$6:$J$233,F$30,'Data &amp; Targets'!$K$6:$K$233,1)</x:f>
        <x:v>0</x:v>
      </x:c>
      <x:c r="G69" s="95" t="n">
        <x:f>COUNTIFS('Data &amp; Targets'!$C$6:$C$233,A69,'Data &amp; Targets'!$F$6:$F$233,C69,'Data &amp; Targets'!$J$6:$J$233,G$30,'Data &amp; Targets'!$K$6:$K$233,1)</x:f>
        <x:v>3</x:v>
      </x:c>
      <x:c r="H69" s="95" t="n">
        <x:f>COUNTIFS('Data &amp; Targets'!$C$6:$C$233,A69,'Data &amp; Targets'!$F$6:$F$233,C69,'Data &amp; Targets'!$J$6:$J$233,H$30,'Data &amp; Targets'!$K$6:$K$233,1)</x:f>
        <x:v>0</x:v>
      </x:c>
      <x:c r="I69" s="95" t="n">
        <x:f>COUNTIFS('Data &amp; Targets'!$C$6:$C$233,A69,'Data &amp; Targets'!$F$6:$F$233,C69,'Data &amp; Targets'!$J$6:$J$233,I$30,'Data &amp; Targets'!$K$6:$K$233,1)</x:f>
        <x:v>0</x:v>
      </x:c>
      <x:c r="J69" s="95" t="n">
        <x:f>COUNTIFS('Data &amp; Targets'!$C$6:$C$233,A69,'Data &amp; Targets'!$F$6:$F$233,C69,'Data &amp; Targets'!$J$6:$J$233,J$30,'Data &amp; Targets'!$K$6:$K$233,1)</x:f>
        <x:v>0</x:v>
      </x:c>
      <x:c r="K69" s="95" t="n">
        <x:f>SUM(D69:J69)</x:f>
        <x:v>6</x:v>
      </x:c>
      <x:c r="L69" s="108"/>
      <x:c r="M69" s="95" t="str">
        <x:f>IF(L69="","",K69-L69)</x:f>
      </x:c>
      <x:c r="N69" s="108"/>
    </x:row>
    <x:row r="70" ht="35" customHeight="1">
      <x:c r="A70" s="95" t="str">
        <x:v>D22</x:v>
      </x:c>
      <x:c r="B70" s="95" t="str">
        <x:v>Endoscopy</x:v>
      </x:c>
      <x:c r="C70" s="95" t="str">
        <x:v>Collection</x:v>
      </x:c>
      <x:c r="D70" s="95" t="n">
        <x:f>COUNTIFS('Data &amp; Targets'!$C$6:$C$233,A70,'Data &amp; Targets'!$F$6:$F$233,C70,'Data &amp; Targets'!$J$6:$J$233,D$30,'Data &amp; Targets'!$K$6:$K$233,1)</x:f>
        <x:v>3</x:v>
      </x:c>
      <x:c r="E70" s="95" t="n">
        <x:f>COUNTIFS('Data &amp; Targets'!$C$6:$C$233,A70,'Data &amp; Targets'!$F$6:$F$233,C70,'Data &amp; Targets'!$J$6:$J$233,E$30,'Data &amp; Targets'!$K$6:$K$233,1)</x:f>
        <x:v>0</x:v>
      </x:c>
      <x:c r="F70" s="95" t="n">
        <x:f>COUNTIFS('Data &amp; Targets'!$C$6:$C$233,A70,'Data &amp; Targets'!$F$6:$F$233,C70,'Data &amp; Targets'!$J$6:$J$233,F$30,'Data &amp; Targets'!$K$6:$K$233,1)</x:f>
        <x:v>0</x:v>
      </x:c>
      <x:c r="G70" s="95" t="n">
        <x:f>COUNTIFS('Data &amp; Targets'!$C$6:$C$233,A70,'Data &amp; Targets'!$F$6:$F$233,C70,'Data &amp; Targets'!$J$6:$J$233,G$30,'Data &amp; Targets'!$K$6:$K$233,1)</x:f>
        <x:v>3</x:v>
      </x:c>
      <x:c r="H70" s="95" t="n">
        <x:f>COUNTIFS('Data &amp; Targets'!$C$6:$C$233,A70,'Data &amp; Targets'!$F$6:$F$233,C70,'Data &amp; Targets'!$J$6:$J$233,H$30,'Data &amp; Targets'!$K$6:$K$233,1)</x:f>
        <x:v>0</x:v>
      </x:c>
      <x:c r="I70" s="95" t="n">
        <x:f>COUNTIFS('Data &amp; Targets'!$C$6:$C$233,A70,'Data &amp; Targets'!$F$6:$F$233,C70,'Data &amp; Targets'!$J$6:$J$233,I$30,'Data &amp; Targets'!$K$6:$K$233,1)</x:f>
        <x:v>0</x:v>
      </x:c>
      <x:c r="J70" s="95" t="n">
        <x:f>COUNTIFS('Data &amp; Targets'!$C$6:$C$233,A70,'Data &amp; Targets'!$F$6:$F$233,C70,'Data &amp; Targets'!$J$6:$J$233,J$30,'Data &amp; Targets'!$K$6:$K$233,1)</x:f>
        <x:v>0</x:v>
      </x:c>
      <x:c r="K70" s="95" t="n">
        <x:f>SUM(D70:J70)</x:f>
        <x:v>6</x:v>
      </x:c>
      <x:c r="L70" s="108"/>
      <x:c r="M70" s="95" t="str">
        <x:f>IF(L70="","",K70-L70)</x:f>
      </x:c>
      <x:c r="N70" s="108"/>
    </x:row>
    <x:row r="71" ht="35" customHeight="1">
      <x:c r="A71" s="95" t="str">
        <x:v>D1</x:v>
      </x:c>
      <x:c r="B71" s="95" t="str">
        <x:v>Fraility</x:v>
      </x:c>
      <x:c r="C71" s="95" t="str">
        <x:v>Delivery</x:v>
      </x:c>
      <x:c r="D71" s="95" t="n">
        <x:f>COUNTIFS('Data &amp; Targets'!$C$6:$C$233,A71,'Data &amp; Targets'!$F$6:$F$233,C71,'Data &amp; Targets'!$J$6:$J$233,D$30,'Data &amp; Targets'!$K$6:$K$233,1)</x:f>
        <x:v>0</x:v>
      </x:c>
      <x:c r="E71" s="95" t="n">
        <x:f>COUNTIFS('Data &amp; Targets'!$C$6:$C$233,A71,'Data &amp; Targets'!$F$6:$F$233,C71,'Data &amp; Targets'!$J$6:$J$233,E$30,'Data &amp; Targets'!$K$6:$K$233,1)</x:f>
        <x:v>0</x:v>
      </x:c>
      <x:c r="F71" s="95" t="n">
        <x:f>COUNTIFS('Data &amp; Targets'!$C$6:$C$233,A71,'Data &amp; Targets'!$F$6:$F$233,C71,'Data &amp; Targets'!$J$6:$J$233,F$30,'Data &amp; Targets'!$K$6:$K$233,1)</x:f>
        <x:v>0</x:v>
      </x:c>
      <x:c r="G71" s="95" t="n">
        <x:f>COUNTIFS('Data &amp; Targets'!$C$6:$C$233,A71,'Data &amp; Targets'!$F$6:$F$233,C71,'Data &amp; Targets'!$J$6:$J$233,G$30,'Data &amp; Targets'!$K$6:$K$233,1)</x:f>
        <x:v>0</x:v>
      </x:c>
      <x:c r="H71" s="95" t="n">
        <x:f>COUNTIFS('Data &amp; Targets'!$C$6:$C$233,A71,'Data &amp; Targets'!$F$6:$F$233,C71,'Data &amp; Targets'!$J$6:$J$233,H$30,'Data &amp; Targets'!$K$6:$K$233,1)</x:f>
        <x:v>3</x:v>
      </x:c>
      <x:c r="I71" s="95" t="n">
        <x:f>COUNTIFS('Data &amp; Targets'!$C$6:$C$233,A71,'Data &amp; Targets'!$F$6:$F$233,C71,'Data &amp; Targets'!$J$6:$J$233,I$30,'Data &amp; Targets'!$K$6:$K$233,1)</x:f>
        <x:v>0</x:v>
      </x:c>
      <x:c r="J71" s="95" t="n">
        <x:f>COUNTIFS('Data &amp; Targets'!$C$6:$C$233,A71,'Data &amp; Targets'!$F$6:$F$233,C71,'Data &amp; Targets'!$J$6:$J$233,J$30,'Data &amp; Targets'!$K$6:$K$233,1)</x:f>
        <x:v>0</x:v>
      </x:c>
      <x:c r="K71" s="95" t="n">
        <x:f>SUM(D71:J71)</x:f>
        <x:v>3</x:v>
      </x:c>
      <x:c r="L71" s="108"/>
      <x:c r="M71" s="95" t="str">
        <x:f>IF(L71="","",K71-L71)</x:f>
      </x:c>
      <x:c r="N71" s="108"/>
    </x:row>
    <x:row r="72" ht="35" customHeight="1">
      <x:c r="A72" s="95" t="str">
        <x:v>D1</x:v>
      </x:c>
      <x:c r="B72" s="95" t="str">
        <x:v>Fraility</x:v>
      </x:c>
      <x:c r="C72" s="95" t="str">
        <x:v>Collection</x:v>
      </x:c>
      <x:c r="D72" s="95" t="n">
        <x:f>COUNTIFS('Data &amp; Targets'!$C$6:$C$233,A72,'Data &amp; Targets'!$F$6:$F$233,C72,'Data &amp; Targets'!$J$6:$J$233,D$30,'Data &amp; Targets'!$K$6:$K$233,1)</x:f>
        <x:v>0</x:v>
      </x:c>
      <x:c r="E72" s="95" t="n">
        <x:f>COUNTIFS('Data &amp; Targets'!$C$6:$C$233,A72,'Data &amp; Targets'!$F$6:$F$233,C72,'Data &amp; Targets'!$J$6:$J$233,E$30,'Data &amp; Targets'!$K$6:$K$233,1)</x:f>
        <x:v>0</x:v>
      </x:c>
      <x:c r="F72" s="95" t="n">
        <x:f>COUNTIFS('Data &amp; Targets'!$C$6:$C$233,A72,'Data &amp; Targets'!$F$6:$F$233,C72,'Data &amp; Targets'!$J$6:$J$233,F$30,'Data &amp; Targets'!$K$6:$K$233,1)</x:f>
        <x:v>0</x:v>
      </x:c>
      <x:c r="G72" s="95" t="n">
        <x:f>COUNTIFS('Data &amp; Targets'!$C$6:$C$233,A72,'Data &amp; Targets'!$F$6:$F$233,C72,'Data &amp; Targets'!$J$6:$J$233,G$30,'Data &amp; Targets'!$K$6:$K$233,1)</x:f>
        <x:v>0</x:v>
      </x:c>
      <x:c r="H72" s="95" t="n">
        <x:f>COUNTIFS('Data &amp; Targets'!$C$6:$C$233,A72,'Data &amp; Targets'!$F$6:$F$233,C72,'Data &amp; Targets'!$J$6:$J$233,H$30,'Data &amp; Targets'!$K$6:$K$233,1)</x:f>
        <x:v>3</x:v>
      </x:c>
      <x:c r="I72" s="95" t="n">
        <x:f>COUNTIFS('Data &amp; Targets'!$C$6:$C$233,A72,'Data &amp; Targets'!$F$6:$F$233,C72,'Data &amp; Targets'!$J$6:$J$233,I$30,'Data &amp; Targets'!$K$6:$K$233,1)</x:f>
        <x:v>0</x:v>
      </x:c>
      <x:c r="J72" s="95" t="n">
        <x:f>COUNTIFS('Data &amp; Targets'!$C$6:$C$233,A72,'Data &amp; Targets'!$F$6:$F$233,C72,'Data &amp; Targets'!$J$6:$J$233,J$30,'Data &amp; Targets'!$K$6:$K$233,1)</x:f>
        <x:v>0</x:v>
      </x:c>
      <x:c r="K72" s="95" t="n">
        <x:f>SUM(D72:J72)</x:f>
        <x:v>3</x:v>
      </x:c>
      <x:c r="L72" s="108"/>
      <x:c r="M72" s="95" t="str">
        <x:f>IF(L72="","",K72-L72)</x:f>
      </x:c>
      <x:c r="N72" s="108"/>
    </x:row>
    <x:row r="73" ht="35" customHeight="1">
      <x:c r="A73" s="95" t="str">
        <x:v>D23</x:v>
      </x:c>
      <x:c r="B73" s="95" t="str">
        <x:v>Gynae Outpatients</x:v>
      </x:c>
      <x:c r="C73" s="95" t="str">
        <x:v>Delivery</x:v>
      </x:c>
      <x:c r="D73" s="95" t="n">
        <x:f>COUNTIFS('Data &amp; Targets'!$C$6:$C$233,A73,'Data &amp; Targets'!$F$6:$F$233,C73,'Data &amp; Targets'!$J$6:$J$233,D$30,'Data &amp; Targets'!$K$6:$K$233,1)</x:f>
        <x:v>3</x:v>
      </x:c>
      <x:c r="E73" s="95" t="n">
        <x:f>COUNTIFS('Data &amp; Targets'!$C$6:$C$233,A73,'Data &amp; Targets'!$F$6:$F$233,C73,'Data &amp; Targets'!$J$6:$J$233,E$30,'Data &amp; Targets'!$K$6:$K$233,1)</x:f>
        <x:v>0</x:v>
      </x:c>
      <x:c r="F73" s="95" t="n">
        <x:f>COUNTIFS('Data &amp; Targets'!$C$6:$C$233,A73,'Data &amp; Targets'!$F$6:$F$233,C73,'Data &amp; Targets'!$J$6:$J$233,F$30,'Data &amp; Targets'!$K$6:$K$233,1)</x:f>
        <x:v>0</x:v>
      </x:c>
      <x:c r="G73" s="95" t="n">
        <x:f>COUNTIFS('Data &amp; Targets'!$C$6:$C$233,A73,'Data &amp; Targets'!$F$6:$F$233,C73,'Data &amp; Targets'!$J$6:$J$233,G$30,'Data &amp; Targets'!$K$6:$K$233,1)</x:f>
        <x:v>0</x:v>
      </x:c>
      <x:c r="H73" s="95" t="n">
        <x:f>COUNTIFS('Data &amp; Targets'!$C$6:$C$233,A73,'Data &amp; Targets'!$F$6:$F$233,C73,'Data &amp; Targets'!$J$6:$J$233,H$30,'Data &amp; Targets'!$K$6:$K$233,1)</x:f>
        <x:v>0</x:v>
      </x:c>
      <x:c r="I73" s="95" t="n">
        <x:f>COUNTIFS('Data &amp; Targets'!$C$6:$C$233,A73,'Data &amp; Targets'!$F$6:$F$233,C73,'Data &amp; Targets'!$J$6:$J$233,I$30,'Data &amp; Targets'!$K$6:$K$233,1)</x:f>
        <x:v>0</x:v>
      </x:c>
      <x:c r="J73" s="95" t="n">
        <x:f>COUNTIFS('Data &amp; Targets'!$C$6:$C$233,A73,'Data &amp; Targets'!$F$6:$F$233,C73,'Data &amp; Targets'!$J$6:$J$233,J$30,'Data &amp; Targets'!$K$6:$K$233,1)</x:f>
        <x:v>0</x:v>
      </x:c>
      <x:c r="K73" s="95" t="n">
        <x:f>SUM(D73:J73)</x:f>
        <x:v>3</x:v>
      </x:c>
      <x:c r="L73" s="108"/>
      <x:c r="M73" s="95" t="str">
        <x:f>IF(L73="","",K73-L73)</x:f>
      </x:c>
      <x:c r="N73" s="108"/>
    </x:row>
    <x:row r="74" ht="35" customHeight="1">
      <x:c r="A74" s="95" t="str">
        <x:v>D23</x:v>
      </x:c>
      <x:c r="B74" s="95" t="str">
        <x:v>Gynae Outpatients</x:v>
      </x:c>
      <x:c r="C74" s="95" t="str">
        <x:v>Collection</x:v>
      </x:c>
      <x:c r="D74" s="95" t="n">
        <x:f>COUNTIFS('Data &amp; Targets'!$C$6:$C$233,A74,'Data &amp; Targets'!$F$6:$F$233,C74,'Data &amp; Targets'!$J$6:$J$233,D$30,'Data &amp; Targets'!$K$6:$K$233,1)</x:f>
        <x:v>3</x:v>
      </x:c>
      <x:c r="E74" s="95" t="n">
        <x:f>COUNTIFS('Data &amp; Targets'!$C$6:$C$233,A74,'Data &amp; Targets'!$F$6:$F$233,C74,'Data &amp; Targets'!$J$6:$J$233,E$30,'Data &amp; Targets'!$K$6:$K$233,1)</x:f>
        <x:v>0</x:v>
      </x:c>
      <x:c r="F74" s="95" t="n">
        <x:f>COUNTIFS('Data &amp; Targets'!$C$6:$C$233,A74,'Data &amp; Targets'!$F$6:$F$233,C74,'Data &amp; Targets'!$J$6:$J$233,F$30,'Data &amp; Targets'!$K$6:$K$233,1)</x:f>
        <x:v>0</x:v>
      </x:c>
      <x:c r="G74" s="95" t="n">
        <x:f>COUNTIFS('Data &amp; Targets'!$C$6:$C$233,A74,'Data &amp; Targets'!$F$6:$F$233,C74,'Data &amp; Targets'!$J$6:$J$233,G$30,'Data &amp; Targets'!$K$6:$K$233,1)</x:f>
        <x:v>0</x:v>
      </x:c>
      <x:c r="H74" s="95" t="n">
        <x:f>COUNTIFS('Data &amp; Targets'!$C$6:$C$233,A74,'Data &amp; Targets'!$F$6:$F$233,C74,'Data &amp; Targets'!$J$6:$J$233,H$30,'Data &amp; Targets'!$K$6:$K$233,1)</x:f>
        <x:v>0</x:v>
      </x:c>
      <x:c r="I74" s="95" t="n">
        <x:f>COUNTIFS('Data &amp; Targets'!$C$6:$C$233,A74,'Data &amp; Targets'!$F$6:$F$233,C74,'Data &amp; Targets'!$J$6:$J$233,I$30,'Data &amp; Targets'!$K$6:$K$233,1)</x:f>
        <x:v>0</x:v>
      </x:c>
      <x:c r="J74" s="95" t="n">
        <x:f>COUNTIFS('Data &amp; Targets'!$C$6:$C$233,A74,'Data &amp; Targets'!$F$6:$F$233,C74,'Data &amp; Targets'!$J$6:$J$233,J$30,'Data &amp; Targets'!$K$6:$K$233,1)</x:f>
        <x:v>0</x:v>
      </x:c>
      <x:c r="K74" s="95" t="n">
        <x:f>SUM(D74:J74)</x:f>
        <x:v>3</x:v>
      </x:c>
      <x:c r="L74" s="108"/>
      <x:c r="M74" s="95" t="str">
        <x:f>IF(L74="","",K74-L74)</x:f>
      </x:c>
      <x:c r="N74" s="108"/>
    </x:row>
    <x:row r="75" ht="35" customHeight="1">
      <x:c r="A75" s="95" t="str">
        <x:v>D21</x:v>
      </x:c>
      <x:c r="B75" s="95" t="str">
        <x:v>Intensive Care</x:v>
      </x:c>
      <x:c r="C75" s="95" t="str">
        <x:v>Delivery</x:v>
      </x:c>
      <x:c r="D75" s="95" t="n">
        <x:f>COUNTIFS('Data &amp; Targets'!$C$6:$C$233,A75,'Data &amp; Targets'!$F$6:$F$233,C75,'Data &amp; Targets'!$J$6:$J$233,D$30,'Data &amp; Targets'!$K$6:$K$233,1)</x:f>
        <x:v>0</x:v>
      </x:c>
      <x:c r="E75" s="95" t="n">
        <x:f>COUNTIFS('Data &amp; Targets'!$C$6:$C$233,A75,'Data &amp; Targets'!$F$6:$F$233,C75,'Data &amp; Targets'!$J$6:$J$233,E$30,'Data &amp; Targets'!$K$6:$K$233,1)</x:f>
        <x:v>3</x:v>
      </x:c>
      <x:c r="F75" s="95" t="n">
        <x:f>COUNTIFS('Data &amp; Targets'!$C$6:$C$233,A75,'Data &amp; Targets'!$F$6:$F$233,C75,'Data &amp; Targets'!$J$6:$J$233,F$30,'Data &amp; Targets'!$K$6:$K$233,1)</x:f>
        <x:v>0</x:v>
      </x:c>
      <x:c r="G75" s="95" t="n">
        <x:f>COUNTIFS('Data &amp; Targets'!$C$6:$C$233,A75,'Data &amp; Targets'!$F$6:$F$233,C75,'Data &amp; Targets'!$J$6:$J$233,G$30,'Data &amp; Targets'!$K$6:$K$233,1)</x:f>
        <x:v>0</x:v>
      </x:c>
      <x:c r="H75" s="95" t="n">
        <x:f>COUNTIFS('Data &amp; Targets'!$C$6:$C$233,A75,'Data &amp; Targets'!$F$6:$F$233,C75,'Data &amp; Targets'!$J$6:$J$233,H$30,'Data &amp; Targets'!$K$6:$K$233,1)</x:f>
        <x:v>0</x:v>
      </x:c>
      <x:c r="I75" s="95" t="n">
        <x:f>COUNTIFS('Data &amp; Targets'!$C$6:$C$233,A75,'Data &amp; Targets'!$F$6:$F$233,C75,'Data &amp; Targets'!$J$6:$J$233,I$30,'Data &amp; Targets'!$K$6:$K$233,1)</x:f>
        <x:v>0</x:v>
      </x:c>
      <x:c r="J75" s="95" t="n">
        <x:f>COUNTIFS('Data &amp; Targets'!$C$6:$C$233,A75,'Data &amp; Targets'!$F$6:$F$233,C75,'Data &amp; Targets'!$J$6:$J$233,J$30,'Data &amp; Targets'!$K$6:$K$233,1)</x:f>
        <x:v>0</x:v>
      </x:c>
      <x:c r="K75" s="95" t="n">
        <x:f>SUM(D75:J75)</x:f>
        <x:v>3</x:v>
      </x:c>
      <x:c r="L75" s="108"/>
      <x:c r="M75" s="95" t="str">
        <x:f>IF(L75="","",K75-L75)</x:f>
      </x:c>
      <x:c r="N75" s="108"/>
    </x:row>
    <x:row r="76" ht="35" customHeight="1">
      <x:c r="A76" s="95" t="str">
        <x:v>D21</x:v>
      </x:c>
      <x:c r="B76" s="95" t="str">
        <x:v>Intensive Care</x:v>
      </x:c>
      <x:c r="C76" s="95" t="str">
        <x:v>Collection</x:v>
      </x:c>
      <x:c r="D76" s="95" t="n">
        <x:f>COUNTIFS('Data &amp; Targets'!$C$6:$C$233,A76,'Data &amp; Targets'!$F$6:$F$233,C76,'Data &amp; Targets'!$J$6:$J$233,D$30,'Data &amp; Targets'!$K$6:$K$233,1)</x:f>
        <x:v>0</x:v>
      </x:c>
      <x:c r="E76" s="95" t="n">
        <x:f>COUNTIFS('Data &amp; Targets'!$C$6:$C$233,A76,'Data &amp; Targets'!$F$6:$F$233,C76,'Data &amp; Targets'!$J$6:$J$233,E$30,'Data &amp; Targets'!$K$6:$K$233,1)</x:f>
        <x:v>3</x:v>
      </x:c>
      <x:c r="F76" s="95" t="n">
        <x:f>COUNTIFS('Data &amp; Targets'!$C$6:$C$233,A76,'Data &amp; Targets'!$F$6:$F$233,C76,'Data &amp; Targets'!$J$6:$J$233,F$30,'Data &amp; Targets'!$K$6:$K$233,1)</x:f>
        <x:v>0</x:v>
      </x:c>
      <x:c r="G76" s="95" t="n">
        <x:f>COUNTIFS('Data &amp; Targets'!$C$6:$C$233,A76,'Data &amp; Targets'!$F$6:$F$233,C76,'Data &amp; Targets'!$J$6:$J$233,G$30,'Data &amp; Targets'!$K$6:$K$233,1)</x:f>
        <x:v>0</x:v>
      </x:c>
      <x:c r="H76" s="95" t="n">
        <x:f>COUNTIFS('Data &amp; Targets'!$C$6:$C$233,A76,'Data &amp; Targets'!$F$6:$F$233,C76,'Data &amp; Targets'!$J$6:$J$233,H$30,'Data &amp; Targets'!$K$6:$K$233,1)</x:f>
        <x:v>0</x:v>
      </x:c>
      <x:c r="I76" s="95" t="n">
        <x:f>COUNTIFS('Data &amp; Targets'!$C$6:$C$233,A76,'Data &amp; Targets'!$F$6:$F$233,C76,'Data &amp; Targets'!$J$6:$J$233,I$30,'Data &amp; Targets'!$K$6:$K$233,1)</x:f>
        <x:v>0</x:v>
      </x:c>
      <x:c r="J76" s="95" t="n">
        <x:f>COUNTIFS('Data &amp; Targets'!$C$6:$C$233,A76,'Data &amp; Targets'!$F$6:$F$233,C76,'Data &amp; Targets'!$J$6:$J$233,J$30,'Data &amp; Targets'!$K$6:$K$233,1)</x:f>
        <x:v>0</x:v>
      </x:c>
      <x:c r="K76" s="95" t="n">
        <x:f>SUM(D76:J76)</x:f>
        <x:v>3</x:v>
      </x:c>
      <x:c r="L76" s="108"/>
      <x:c r="M76" s="95" t="str">
        <x:f>IF(L76="","",K76-L76)</x:f>
      </x:c>
      <x:c r="N76" s="108"/>
    </x:row>
    <x:row r="77" ht="35" customHeight="1">
      <x:c r="A77" s="95" t="str">
        <x:v>D30</x:v>
      </x:c>
      <x:c r="B77" s="95" t="str">
        <x:v>Maternity Inpatients</x:v>
      </x:c>
      <x:c r="C77" s="95" t="str">
        <x:v>Delivery</x:v>
      </x:c>
      <x:c r="D77" s="95" t="n">
        <x:f>COUNTIFS('Data &amp; Targets'!$C$6:$C$233,A77,'Data &amp; Targets'!$F$6:$F$233,C77,'Data &amp; Targets'!$J$6:$J$233,D$30,'Data &amp; Targets'!$K$6:$K$233,1)</x:f>
        <x:v>0</x:v>
      </x:c>
      <x:c r="E77" s="95" t="n">
        <x:f>COUNTIFS('Data &amp; Targets'!$C$6:$C$233,A77,'Data &amp; Targets'!$F$6:$F$233,C77,'Data &amp; Targets'!$J$6:$J$233,E$30,'Data &amp; Targets'!$K$6:$K$233,1)</x:f>
        <x:v>0</x:v>
      </x:c>
      <x:c r="F77" s="95" t="n">
        <x:f>COUNTIFS('Data &amp; Targets'!$C$6:$C$233,A77,'Data &amp; Targets'!$F$6:$F$233,C77,'Data &amp; Targets'!$J$6:$J$233,F$30,'Data &amp; Targets'!$K$6:$K$233,1)</x:f>
        <x:v>3</x:v>
      </x:c>
      <x:c r="G77" s="95" t="n">
        <x:f>COUNTIFS('Data &amp; Targets'!$C$6:$C$233,A77,'Data &amp; Targets'!$F$6:$F$233,C77,'Data &amp; Targets'!$J$6:$J$233,G$30,'Data &amp; Targets'!$K$6:$K$233,1)</x:f>
        <x:v>0</x:v>
      </x:c>
      <x:c r="H77" s="95" t="n">
        <x:f>COUNTIFS('Data &amp; Targets'!$C$6:$C$233,A77,'Data &amp; Targets'!$F$6:$F$233,C77,'Data &amp; Targets'!$J$6:$J$233,H$30,'Data &amp; Targets'!$K$6:$K$233,1)</x:f>
        <x:v>0</x:v>
      </x:c>
      <x:c r="I77" s="95" t="n">
        <x:f>COUNTIFS('Data &amp; Targets'!$C$6:$C$233,A77,'Data &amp; Targets'!$F$6:$F$233,C77,'Data &amp; Targets'!$J$6:$J$233,I$30,'Data &amp; Targets'!$K$6:$K$233,1)</x:f>
        <x:v>0</x:v>
      </x:c>
      <x:c r="J77" s="95" t="n">
        <x:f>COUNTIFS('Data &amp; Targets'!$C$6:$C$233,A77,'Data &amp; Targets'!$F$6:$F$233,C77,'Data &amp; Targets'!$J$6:$J$233,J$30,'Data &amp; Targets'!$K$6:$K$233,1)</x:f>
        <x:v>0</x:v>
      </x:c>
      <x:c r="K77" s="95" t="n">
        <x:f>SUM(D77:J77)</x:f>
        <x:v>3</x:v>
      </x:c>
      <x:c r="L77" s="108"/>
      <x:c r="M77" s="95" t="str">
        <x:f>IF(L77="","",K77-L77)</x:f>
      </x:c>
      <x:c r="N77" s="108"/>
    </x:row>
    <x:row r="78" ht="35" customHeight="1">
      <x:c r="A78" s="95" t="str">
        <x:v>D30</x:v>
      </x:c>
      <x:c r="B78" s="95" t="str">
        <x:v>Maternity Inpatients</x:v>
      </x:c>
      <x:c r="C78" s="95" t="str">
        <x:v>Collection</x:v>
      </x:c>
      <x:c r="D78" s="95" t="n">
        <x:f>COUNTIFS('Data &amp; Targets'!$C$6:$C$233,A78,'Data &amp; Targets'!$F$6:$F$233,C78,'Data &amp; Targets'!$J$6:$J$233,D$30,'Data &amp; Targets'!$K$6:$K$233,1)</x:f>
        <x:v>0</x:v>
      </x:c>
      <x:c r="E78" s="95" t="n">
        <x:f>COUNTIFS('Data &amp; Targets'!$C$6:$C$233,A78,'Data &amp; Targets'!$F$6:$F$233,C78,'Data &amp; Targets'!$J$6:$J$233,E$30,'Data &amp; Targets'!$K$6:$K$233,1)</x:f>
        <x:v>0</x:v>
      </x:c>
      <x:c r="F78" s="95" t="n">
        <x:f>COUNTIFS('Data &amp; Targets'!$C$6:$C$233,A78,'Data &amp; Targets'!$F$6:$F$233,C78,'Data &amp; Targets'!$J$6:$J$233,F$30,'Data &amp; Targets'!$K$6:$K$233,1)</x:f>
        <x:v>3</x:v>
      </x:c>
      <x:c r="G78" s="95" t="n">
        <x:f>COUNTIFS('Data &amp; Targets'!$C$6:$C$233,A78,'Data &amp; Targets'!$F$6:$F$233,C78,'Data &amp; Targets'!$J$6:$J$233,G$30,'Data &amp; Targets'!$K$6:$K$233,1)</x:f>
        <x:v>0</x:v>
      </x:c>
      <x:c r="H78" s="95" t="n">
        <x:f>COUNTIFS('Data &amp; Targets'!$C$6:$C$233,A78,'Data &amp; Targets'!$F$6:$F$233,C78,'Data &amp; Targets'!$J$6:$J$233,H$30,'Data &amp; Targets'!$K$6:$K$233,1)</x:f>
        <x:v>0</x:v>
      </x:c>
      <x:c r="I78" s="95" t="n">
        <x:f>COUNTIFS('Data &amp; Targets'!$C$6:$C$233,A78,'Data &amp; Targets'!$F$6:$F$233,C78,'Data &amp; Targets'!$J$6:$J$233,I$30,'Data &amp; Targets'!$K$6:$K$233,1)</x:f>
        <x:v>0</x:v>
      </x:c>
      <x:c r="J78" s="95" t="n">
        <x:f>COUNTIFS('Data &amp; Targets'!$C$6:$C$233,A78,'Data &amp; Targets'!$F$6:$F$233,C78,'Data &amp; Targets'!$J$6:$J$233,J$30,'Data &amp; Targets'!$K$6:$K$233,1)</x:f>
        <x:v>0</x:v>
      </x:c>
      <x:c r="K78" s="95" t="n">
        <x:f>SUM(D78:J78)</x:f>
        <x:v>3</x:v>
      </x:c>
      <x:c r="L78" s="108"/>
      <x:c r="M78" s="95" t="str">
        <x:f>IF(L78="","",K78-L78)</x:f>
      </x:c>
      <x:c r="N78" s="108"/>
    </x:row>
    <x:row r="79" ht="35" customHeight="1">
      <x:c r="A79" s="95" t="str">
        <x:v>D10</x:v>
      </x:c>
      <x:c r="B79" s="95" t="str">
        <x:v>Minor Injuries</x:v>
      </x:c>
      <x:c r="C79" s="95" t="str">
        <x:v>Delivery</x:v>
      </x:c>
      <x:c r="D79" s="95" t="n">
        <x:f>COUNTIFS('Data &amp; Targets'!$C$6:$C$233,A79,'Data &amp; Targets'!$F$6:$F$233,C79,'Data &amp; Targets'!$J$6:$J$233,D$30,'Data &amp; Targets'!$K$6:$K$233,1)</x:f>
        <x:v>0</x:v>
      </x:c>
      <x:c r="E79" s="95" t="n">
        <x:f>COUNTIFS('Data &amp; Targets'!$C$6:$C$233,A79,'Data &amp; Targets'!$F$6:$F$233,C79,'Data &amp; Targets'!$J$6:$J$233,E$30,'Data &amp; Targets'!$K$6:$K$233,1)</x:f>
        <x:v>0</x:v>
      </x:c>
      <x:c r="F79" s="95" t="n">
        <x:f>COUNTIFS('Data &amp; Targets'!$C$6:$C$233,A79,'Data &amp; Targets'!$F$6:$F$233,C79,'Data &amp; Targets'!$J$6:$J$233,F$30,'Data &amp; Targets'!$K$6:$K$233,1)</x:f>
        <x:v>3</x:v>
      </x:c>
      <x:c r="G79" s="95" t="n">
        <x:f>COUNTIFS('Data &amp; Targets'!$C$6:$C$233,A79,'Data &amp; Targets'!$F$6:$F$233,C79,'Data &amp; Targets'!$J$6:$J$233,G$30,'Data &amp; Targets'!$K$6:$K$233,1)</x:f>
        <x:v>0</x:v>
      </x:c>
      <x:c r="H79" s="95" t="n">
        <x:f>COUNTIFS('Data &amp; Targets'!$C$6:$C$233,A79,'Data &amp; Targets'!$F$6:$F$233,C79,'Data &amp; Targets'!$J$6:$J$233,H$30,'Data &amp; Targets'!$K$6:$K$233,1)</x:f>
        <x:v>0</x:v>
      </x:c>
      <x:c r="I79" s="95" t="n">
        <x:f>COUNTIFS('Data &amp; Targets'!$C$6:$C$233,A79,'Data &amp; Targets'!$F$6:$F$233,C79,'Data &amp; Targets'!$J$6:$J$233,I$30,'Data &amp; Targets'!$K$6:$K$233,1)</x:f>
        <x:v>0</x:v>
      </x:c>
      <x:c r="J79" s="95" t="n">
        <x:f>COUNTIFS('Data &amp; Targets'!$C$6:$C$233,A79,'Data &amp; Targets'!$F$6:$F$233,C79,'Data &amp; Targets'!$J$6:$J$233,J$30,'Data &amp; Targets'!$K$6:$K$233,1)</x:f>
        <x:v>0</x:v>
      </x:c>
      <x:c r="K79" s="95" t="n">
        <x:f>SUM(D79:J79)</x:f>
        <x:v>3</x:v>
      </x:c>
      <x:c r="L79" s="108"/>
      <x:c r="M79" s="95" t="str">
        <x:f>IF(L79="","",K79-L79)</x:f>
      </x:c>
      <x:c r="N79" s="108"/>
    </x:row>
    <x:row r="80" ht="35" customHeight="1">
      <x:c r="A80" s="95" t="str">
        <x:v>D10</x:v>
      </x:c>
      <x:c r="B80" s="95" t="str">
        <x:v>Minor Injuries</x:v>
      </x:c>
      <x:c r="C80" s="95" t="str">
        <x:v>Collection</x:v>
      </x:c>
      <x:c r="D80" s="95" t="n">
        <x:f>COUNTIFS('Data &amp; Targets'!$C$6:$C$233,A80,'Data &amp; Targets'!$F$6:$F$233,C80,'Data &amp; Targets'!$J$6:$J$233,D$30,'Data &amp; Targets'!$K$6:$K$233,1)</x:f>
        <x:v>0</x:v>
      </x:c>
      <x:c r="E80" s="95" t="n">
        <x:f>COUNTIFS('Data &amp; Targets'!$C$6:$C$233,A80,'Data &amp; Targets'!$F$6:$F$233,C80,'Data &amp; Targets'!$J$6:$J$233,E$30,'Data &amp; Targets'!$K$6:$K$233,1)</x:f>
        <x:v>0</x:v>
      </x:c>
      <x:c r="F80" s="95" t="n">
        <x:f>COUNTIFS('Data &amp; Targets'!$C$6:$C$233,A80,'Data &amp; Targets'!$F$6:$F$233,C80,'Data &amp; Targets'!$J$6:$J$233,F$30,'Data &amp; Targets'!$K$6:$K$233,1)</x:f>
        <x:v>3</x:v>
      </x:c>
      <x:c r="G80" s="95" t="n">
        <x:f>COUNTIFS('Data &amp; Targets'!$C$6:$C$233,A80,'Data &amp; Targets'!$F$6:$F$233,C80,'Data &amp; Targets'!$J$6:$J$233,G$30,'Data &amp; Targets'!$K$6:$K$233,1)</x:f>
        <x:v>0</x:v>
      </x:c>
      <x:c r="H80" s="95" t="n">
        <x:f>COUNTIFS('Data &amp; Targets'!$C$6:$C$233,A80,'Data &amp; Targets'!$F$6:$F$233,C80,'Data &amp; Targets'!$J$6:$J$233,H$30,'Data &amp; Targets'!$K$6:$K$233,1)</x:f>
        <x:v>0</x:v>
      </x:c>
      <x:c r="I80" s="95" t="n">
        <x:f>COUNTIFS('Data &amp; Targets'!$C$6:$C$233,A80,'Data &amp; Targets'!$F$6:$F$233,C80,'Data &amp; Targets'!$J$6:$J$233,I$30,'Data &amp; Targets'!$K$6:$K$233,1)</x:f>
        <x:v>0</x:v>
      </x:c>
      <x:c r="J80" s="95" t="n">
        <x:f>COUNTIFS('Data &amp; Targets'!$C$6:$C$233,A80,'Data &amp; Targets'!$F$6:$F$233,C80,'Data &amp; Targets'!$J$6:$J$233,J$30,'Data &amp; Targets'!$K$6:$K$233,1)</x:f>
        <x:v>0</x:v>
      </x:c>
      <x:c r="K80" s="95" t="n">
        <x:f>SUM(D80:J80)</x:f>
        <x:v>3</x:v>
      </x:c>
      <x:c r="L80" s="108"/>
      <x:c r="M80" s="95" t="str">
        <x:f>IF(L80="","",K80-L80)</x:f>
      </x:c>
      <x:c r="N80" s="108"/>
    </x:row>
    <x:row r="81" ht="35" customHeight="1">
      <x:c r="A81" s="95" t="str">
        <x:v>D27</x:v>
      </x:c>
      <x:c r="B81" s="95" t="str">
        <x:v>Minor ops Suite</x:v>
      </x:c>
      <x:c r="C81" s="95" t="str">
        <x:v>Delivery</x:v>
      </x:c>
      <x:c r="D81" s="95" t="n">
        <x:f>COUNTIFS('Data &amp; Targets'!$C$6:$C$233,A81,'Data &amp; Targets'!$F$6:$F$233,C81,'Data &amp; Targets'!$J$6:$J$233,D$30,'Data &amp; Targets'!$K$6:$K$233,1)</x:f>
        <x:v>3</x:v>
      </x:c>
      <x:c r="E81" s="95" t="n">
        <x:f>COUNTIFS('Data &amp; Targets'!$C$6:$C$233,A81,'Data &amp; Targets'!$F$6:$F$233,C81,'Data &amp; Targets'!$J$6:$J$233,E$30,'Data &amp; Targets'!$K$6:$K$233,1)</x:f>
        <x:v>0</x:v>
      </x:c>
      <x:c r="F81" s="95" t="n">
        <x:f>COUNTIFS('Data &amp; Targets'!$C$6:$C$233,A81,'Data &amp; Targets'!$F$6:$F$233,C81,'Data &amp; Targets'!$J$6:$J$233,F$30,'Data &amp; Targets'!$K$6:$K$233,1)</x:f>
        <x:v>0</x:v>
      </x:c>
      <x:c r="G81" s="95" t="n">
        <x:f>COUNTIFS('Data &amp; Targets'!$C$6:$C$233,A81,'Data &amp; Targets'!$F$6:$F$233,C81,'Data &amp; Targets'!$J$6:$J$233,G$30,'Data &amp; Targets'!$K$6:$K$233,1)</x:f>
        <x:v>0</x:v>
      </x:c>
      <x:c r="H81" s="95" t="n">
        <x:f>COUNTIFS('Data &amp; Targets'!$C$6:$C$233,A81,'Data &amp; Targets'!$F$6:$F$233,C81,'Data &amp; Targets'!$J$6:$J$233,H$30,'Data &amp; Targets'!$K$6:$K$233,1)</x:f>
        <x:v>0</x:v>
      </x:c>
      <x:c r="I81" s="95" t="n">
        <x:f>COUNTIFS('Data &amp; Targets'!$C$6:$C$233,A81,'Data &amp; Targets'!$F$6:$F$233,C81,'Data &amp; Targets'!$J$6:$J$233,I$30,'Data &amp; Targets'!$K$6:$K$233,1)</x:f>
        <x:v>0</x:v>
      </x:c>
      <x:c r="J81" s="95" t="n">
        <x:f>COUNTIFS('Data &amp; Targets'!$C$6:$C$233,A81,'Data &amp; Targets'!$F$6:$F$233,C81,'Data &amp; Targets'!$J$6:$J$233,J$30,'Data &amp; Targets'!$K$6:$K$233,1)</x:f>
        <x:v>0</x:v>
      </x:c>
      <x:c r="K81" s="95" t="n">
        <x:f>SUM(D81:J81)</x:f>
        <x:v>3</x:v>
      </x:c>
      <x:c r="L81" s="108"/>
      <x:c r="M81" s="95" t="str">
        <x:f>IF(L81="","",K81-L81)</x:f>
      </x:c>
      <x:c r="N81" s="108"/>
    </x:row>
    <x:row r="82" ht="35" customHeight="1">
      <x:c r="A82" s="95" t="str">
        <x:v>D27</x:v>
      </x:c>
      <x:c r="B82" s="95" t="str">
        <x:v>Minor ops Suite</x:v>
      </x:c>
      <x:c r="C82" s="95" t="str">
        <x:v>Collection</x:v>
      </x:c>
      <x:c r="D82" s="95" t="n">
        <x:f>COUNTIFS('Data &amp; Targets'!$C$6:$C$233,A82,'Data &amp; Targets'!$F$6:$F$233,C82,'Data &amp; Targets'!$J$6:$J$233,D$30,'Data &amp; Targets'!$K$6:$K$233,1)</x:f>
        <x:v>3</x:v>
      </x:c>
      <x:c r="E82" s="95" t="n">
        <x:f>COUNTIFS('Data &amp; Targets'!$C$6:$C$233,A82,'Data &amp; Targets'!$F$6:$F$233,C82,'Data &amp; Targets'!$J$6:$J$233,E$30,'Data &amp; Targets'!$K$6:$K$233,1)</x:f>
        <x:v>0</x:v>
      </x:c>
      <x:c r="F82" s="95" t="n">
        <x:f>COUNTIFS('Data &amp; Targets'!$C$6:$C$233,A82,'Data &amp; Targets'!$F$6:$F$233,C82,'Data &amp; Targets'!$J$6:$J$233,F$30,'Data &amp; Targets'!$K$6:$K$233,1)</x:f>
        <x:v>0</x:v>
      </x:c>
      <x:c r="G82" s="95" t="n">
        <x:f>COUNTIFS('Data &amp; Targets'!$C$6:$C$233,A82,'Data &amp; Targets'!$F$6:$F$233,C82,'Data &amp; Targets'!$J$6:$J$233,G$30,'Data &amp; Targets'!$K$6:$K$233,1)</x:f>
        <x:v>0</x:v>
      </x:c>
      <x:c r="H82" s="95" t="n">
        <x:f>COUNTIFS('Data &amp; Targets'!$C$6:$C$233,A82,'Data &amp; Targets'!$F$6:$F$233,C82,'Data &amp; Targets'!$J$6:$J$233,H$30,'Data &amp; Targets'!$K$6:$K$233,1)</x:f>
        <x:v>0</x:v>
      </x:c>
      <x:c r="I82" s="95" t="n">
        <x:f>COUNTIFS('Data &amp; Targets'!$C$6:$C$233,A82,'Data &amp; Targets'!$F$6:$F$233,C82,'Data &amp; Targets'!$J$6:$J$233,I$30,'Data &amp; Targets'!$K$6:$K$233,1)</x:f>
        <x:v>0</x:v>
      </x:c>
      <x:c r="J82" s="95" t="n">
        <x:f>COUNTIFS('Data &amp; Targets'!$C$6:$C$233,A82,'Data &amp; Targets'!$F$6:$F$233,C82,'Data &amp; Targets'!$J$6:$J$233,J$30,'Data &amp; Targets'!$K$6:$K$233,1)</x:f>
        <x:v>0</x:v>
      </x:c>
      <x:c r="K82" s="95" t="n">
        <x:f>SUM(D82:J82)</x:f>
        <x:v>3</x:v>
      </x:c>
      <x:c r="L82" s="108"/>
      <x:c r="M82" s="95" t="str">
        <x:f>IF(L82="","",K82-L82)</x:f>
      </x:c>
      <x:c r="N82" s="108"/>
    </x:row>
    <x:row r="83" ht="35" customHeight="1">
      <x:c r="A83" s="95" t="str">
        <x:v>D18</x:v>
      </x:c>
      <x:c r="B83" s="95" t="str">
        <x:v>Neonatal</x:v>
      </x:c>
      <x:c r="C83" s="95" t="str">
        <x:v>Delivery</x:v>
      </x:c>
      <x:c r="D83" s="95" t="n">
        <x:f>COUNTIFS('Data &amp; Targets'!$C$6:$C$233,A83,'Data &amp; Targets'!$F$6:$F$233,C83,'Data &amp; Targets'!$J$6:$J$233,D$30,'Data &amp; Targets'!$K$6:$K$233,1)</x:f>
        <x:v>0</x:v>
      </x:c>
      <x:c r="E83" s="95" t="n">
        <x:f>COUNTIFS('Data &amp; Targets'!$C$6:$C$233,A83,'Data &amp; Targets'!$F$6:$F$233,C83,'Data &amp; Targets'!$J$6:$J$233,E$30,'Data &amp; Targets'!$K$6:$K$233,1)</x:f>
        <x:v>0</x:v>
      </x:c>
      <x:c r="F83" s="95" t="n">
        <x:f>COUNTIFS('Data &amp; Targets'!$C$6:$C$233,A83,'Data &amp; Targets'!$F$6:$F$233,C83,'Data &amp; Targets'!$J$6:$J$233,F$30,'Data &amp; Targets'!$K$6:$K$233,1)</x:f>
        <x:v>0</x:v>
      </x:c>
      <x:c r="G83" s="95" t="n">
        <x:f>COUNTIFS('Data &amp; Targets'!$C$6:$C$233,A83,'Data &amp; Targets'!$F$6:$F$233,C83,'Data &amp; Targets'!$J$6:$J$233,G$30,'Data &amp; Targets'!$K$6:$K$233,1)</x:f>
        <x:v>3</x:v>
      </x:c>
      <x:c r="H83" s="95" t="n">
        <x:f>COUNTIFS('Data &amp; Targets'!$C$6:$C$233,A83,'Data &amp; Targets'!$F$6:$F$233,C83,'Data &amp; Targets'!$J$6:$J$233,H$30,'Data &amp; Targets'!$K$6:$K$233,1)</x:f>
        <x:v>0</x:v>
      </x:c>
      <x:c r="I83" s="95" t="n">
        <x:f>COUNTIFS('Data &amp; Targets'!$C$6:$C$233,A83,'Data &amp; Targets'!$F$6:$F$233,C83,'Data &amp; Targets'!$J$6:$J$233,I$30,'Data &amp; Targets'!$K$6:$K$233,1)</x:f>
        <x:v>0</x:v>
      </x:c>
      <x:c r="J83" s="95" t="n">
        <x:f>COUNTIFS('Data &amp; Targets'!$C$6:$C$233,A83,'Data &amp; Targets'!$F$6:$F$233,C83,'Data &amp; Targets'!$J$6:$J$233,J$30,'Data &amp; Targets'!$K$6:$K$233,1)</x:f>
        <x:v>0</x:v>
      </x:c>
      <x:c r="K83" s="95" t="n">
        <x:f>SUM(D83:J83)</x:f>
        <x:v>3</x:v>
      </x:c>
      <x:c r="L83" s="108"/>
      <x:c r="M83" s="95" t="str">
        <x:f>IF(L83="","",K83-L83)</x:f>
      </x:c>
      <x:c r="N83" s="108"/>
    </x:row>
    <x:row r="84" ht="35" customHeight="1">
      <x:c r="A84" s="95" t="str">
        <x:v>D18</x:v>
      </x:c>
      <x:c r="B84" s="95" t="str">
        <x:v>Neonatal</x:v>
      </x:c>
      <x:c r="C84" s="95" t="str">
        <x:v>Collection</x:v>
      </x:c>
      <x:c r="D84" s="95" t="n">
        <x:f>COUNTIFS('Data &amp; Targets'!$C$6:$C$233,A84,'Data &amp; Targets'!$F$6:$F$233,C84,'Data &amp; Targets'!$J$6:$J$233,D$30,'Data &amp; Targets'!$K$6:$K$233,1)</x:f>
        <x:v>0</x:v>
      </x:c>
      <x:c r="E84" s="95" t="n">
        <x:f>COUNTIFS('Data &amp; Targets'!$C$6:$C$233,A84,'Data &amp; Targets'!$F$6:$F$233,C84,'Data &amp; Targets'!$J$6:$J$233,E$30,'Data &amp; Targets'!$K$6:$K$233,1)</x:f>
        <x:v>0</x:v>
      </x:c>
      <x:c r="F84" s="95" t="n">
        <x:f>COUNTIFS('Data &amp; Targets'!$C$6:$C$233,A84,'Data &amp; Targets'!$F$6:$F$233,C84,'Data &amp; Targets'!$J$6:$J$233,F$30,'Data &amp; Targets'!$K$6:$K$233,1)</x:f>
        <x:v>0</x:v>
      </x:c>
      <x:c r="G84" s="95" t="n">
        <x:f>COUNTIFS('Data &amp; Targets'!$C$6:$C$233,A84,'Data &amp; Targets'!$F$6:$F$233,C84,'Data &amp; Targets'!$J$6:$J$233,G$30,'Data &amp; Targets'!$K$6:$K$233,1)</x:f>
        <x:v>3</x:v>
      </x:c>
      <x:c r="H84" s="95" t="n">
        <x:f>COUNTIFS('Data &amp; Targets'!$C$6:$C$233,A84,'Data &amp; Targets'!$F$6:$F$233,C84,'Data &amp; Targets'!$J$6:$J$233,H$30,'Data &amp; Targets'!$K$6:$K$233,1)</x:f>
        <x:v>0</x:v>
      </x:c>
      <x:c r="I84" s="95" t="n">
        <x:f>COUNTIFS('Data &amp; Targets'!$C$6:$C$233,A84,'Data &amp; Targets'!$F$6:$F$233,C84,'Data &amp; Targets'!$J$6:$J$233,I$30,'Data &amp; Targets'!$K$6:$K$233,1)</x:f>
        <x:v>0</x:v>
      </x:c>
      <x:c r="J84" s="95" t="n">
        <x:f>COUNTIFS('Data &amp; Targets'!$C$6:$C$233,A84,'Data &amp; Targets'!$F$6:$F$233,C84,'Data &amp; Targets'!$J$6:$J$233,J$30,'Data &amp; Targets'!$K$6:$K$233,1)</x:f>
        <x:v>0</x:v>
      </x:c>
      <x:c r="K84" s="95" t="n">
        <x:f>SUM(D84:J84)</x:f>
        <x:v>3</x:v>
      </x:c>
      <x:c r="L84" s="108"/>
      <x:c r="M84" s="95" t="str">
        <x:f>IF(L84="","",K84-L84)</x:f>
      </x:c>
      <x:c r="N84" s="108"/>
    </x:row>
    <x:row r="85" ht="35" customHeight="1">
      <x:c r="A85" s="95" t="str">
        <x:v>D4</x:v>
      </x:c>
      <x:c r="B85" s="95" t="str">
        <x:v>OPD1</x:v>
      </x:c>
      <x:c r="C85" s="95" t="str">
        <x:v>Delivery</x:v>
      </x:c>
      <x:c r="D85" s="95" t="n">
        <x:f>COUNTIFS('Data &amp; Targets'!$C$6:$C$233,A85,'Data &amp; Targets'!$F$6:$F$233,C85,'Data &amp; Targets'!$J$6:$J$233,D$30,'Data &amp; Targets'!$K$6:$K$233,1)</x:f>
        <x:v>3</x:v>
      </x:c>
      <x:c r="E85" s="95" t="n">
        <x:f>COUNTIFS('Data &amp; Targets'!$C$6:$C$233,A85,'Data &amp; Targets'!$F$6:$F$233,C85,'Data &amp; Targets'!$J$6:$J$233,E$30,'Data &amp; Targets'!$K$6:$K$233,1)</x:f>
        <x:v>0</x:v>
      </x:c>
      <x:c r="F85" s="95" t="n">
        <x:f>COUNTIFS('Data &amp; Targets'!$C$6:$C$233,A85,'Data &amp; Targets'!$F$6:$F$233,C85,'Data &amp; Targets'!$J$6:$J$233,F$30,'Data &amp; Targets'!$K$6:$K$233,1)</x:f>
        <x:v>0</x:v>
      </x:c>
      <x:c r="G85" s="95" t="n">
        <x:f>COUNTIFS('Data &amp; Targets'!$C$6:$C$233,A85,'Data &amp; Targets'!$F$6:$F$233,C85,'Data &amp; Targets'!$J$6:$J$233,G$30,'Data &amp; Targets'!$K$6:$K$233,1)</x:f>
        <x:v>0</x:v>
      </x:c>
      <x:c r="H85" s="95" t="n">
        <x:f>COUNTIFS('Data &amp; Targets'!$C$6:$C$233,A85,'Data &amp; Targets'!$F$6:$F$233,C85,'Data &amp; Targets'!$J$6:$J$233,H$30,'Data &amp; Targets'!$K$6:$K$233,1)</x:f>
        <x:v>0</x:v>
      </x:c>
      <x:c r="I85" s="95" t="n">
        <x:f>COUNTIFS('Data &amp; Targets'!$C$6:$C$233,A85,'Data &amp; Targets'!$F$6:$F$233,C85,'Data &amp; Targets'!$J$6:$J$233,I$30,'Data &amp; Targets'!$K$6:$K$233,1)</x:f>
        <x:v>0</x:v>
      </x:c>
      <x:c r="J85" s="95" t="n">
        <x:f>COUNTIFS('Data &amp; Targets'!$C$6:$C$233,A85,'Data &amp; Targets'!$F$6:$F$233,C85,'Data &amp; Targets'!$J$6:$J$233,J$30,'Data &amp; Targets'!$K$6:$K$233,1)</x:f>
        <x:v>0</x:v>
      </x:c>
      <x:c r="K85" s="95" t="n">
        <x:f>SUM(D85:J85)</x:f>
        <x:v>3</x:v>
      </x:c>
      <x:c r="L85" s="108"/>
      <x:c r="M85" s="95" t="str">
        <x:f>IF(L85="","",K85-L85)</x:f>
      </x:c>
      <x:c r="N85" s="108"/>
    </x:row>
    <x:row r="86" ht="35" customHeight="1">
      <x:c r="A86" s="95" t="str">
        <x:v>D4</x:v>
      </x:c>
      <x:c r="B86" s="95" t="str">
        <x:v>OPD1</x:v>
      </x:c>
      <x:c r="C86" s="95" t="str">
        <x:v>Collection</x:v>
      </x:c>
      <x:c r="D86" s="95" t="n">
        <x:f>COUNTIFS('Data &amp; Targets'!$C$6:$C$233,A86,'Data &amp; Targets'!$F$6:$F$233,C86,'Data &amp; Targets'!$J$6:$J$233,D$30,'Data &amp; Targets'!$K$6:$K$233,1)</x:f>
        <x:v>3</x:v>
      </x:c>
      <x:c r="E86" s="95" t="n">
        <x:f>COUNTIFS('Data &amp; Targets'!$C$6:$C$233,A86,'Data &amp; Targets'!$F$6:$F$233,C86,'Data &amp; Targets'!$J$6:$J$233,E$30,'Data &amp; Targets'!$K$6:$K$233,1)</x:f>
        <x:v>0</x:v>
      </x:c>
      <x:c r="F86" s="95" t="n">
        <x:f>COUNTIFS('Data &amp; Targets'!$C$6:$C$233,A86,'Data &amp; Targets'!$F$6:$F$233,C86,'Data &amp; Targets'!$J$6:$J$233,F$30,'Data &amp; Targets'!$K$6:$K$233,1)</x:f>
        <x:v>0</x:v>
      </x:c>
      <x:c r="G86" s="95" t="n">
        <x:f>COUNTIFS('Data &amp; Targets'!$C$6:$C$233,A86,'Data &amp; Targets'!$F$6:$F$233,C86,'Data &amp; Targets'!$J$6:$J$233,G$30,'Data &amp; Targets'!$K$6:$K$233,1)</x:f>
        <x:v>0</x:v>
      </x:c>
      <x:c r="H86" s="95" t="n">
        <x:f>COUNTIFS('Data &amp; Targets'!$C$6:$C$233,A86,'Data &amp; Targets'!$F$6:$F$233,C86,'Data &amp; Targets'!$J$6:$J$233,H$30,'Data &amp; Targets'!$K$6:$K$233,1)</x:f>
        <x:v>0</x:v>
      </x:c>
      <x:c r="I86" s="95" t="n">
        <x:f>COUNTIFS('Data &amp; Targets'!$C$6:$C$233,A86,'Data &amp; Targets'!$F$6:$F$233,C86,'Data &amp; Targets'!$J$6:$J$233,I$30,'Data &amp; Targets'!$K$6:$K$233,1)</x:f>
        <x:v>0</x:v>
      </x:c>
      <x:c r="J86" s="95" t="n">
        <x:f>COUNTIFS('Data &amp; Targets'!$C$6:$C$233,A86,'Data &amp; Targets'!$F$6:$F$233,C86,'Data &amp; Targets'!$J$6:$J$233,J$30,'Data &amp; Targets'!$K$6:$K$233,1)</x:f>
        <x:v>0</x:v>
      </x:c>
      <x:c r="K86" s="95" t="n">
        <x:f>SUM(D86:J86)</x:f>
        <x:v>3</x:v>
      </x:c>
      <x:c r="L86" s="108"/>
      <x:c r="M86" s="95" t="str">
        <x:f>IF(L86="","",K86-L86)</x:f>
      </x:c>
      <x:c r="N86" s="108"/>
    </x:row>
    <x:row r="87" ht="35" customHeight="1">
      <x:c r="A87" s="95" t="str">
        <x:v>D44</x:v>
      </x:c>
      <x:c r="B87" s="95" t="str">
        <x:v>OPD3</x:v>
      </x:c>
      <x:c r="C87" s="95" t="str">
        <x:v>Delivery</x:v>
      </x:c>
      <x:c r="D87" s="95" t="n">
        <x:f>COUNTIFS('Data &amp; Targets'!$C$6:$C$233,A87,'Data &amp; Targets'!$F$6:$F$233,C87,'Data &amp; Targets'!$J$6:$J$233,D$30,'Data &amp; Targets'!$K$6:$K$233,1)</x:f>
        <x:v>3</x:v>
      </x:c>
      <x:c r="E87" s="95" t="n">
        <x:f>COUNTIFS('Data &amp; Targets'!$C$6:$C$233,A87,'Data &amp; Targets'!$F$6:$F$233,C87,'Data &amp; Targets'!$J$6:$J$233,E$30,'Data &amp; Targets'!$K$6:$K$233,1)</x:f>
        <x:v>0</x:v>
      </x:c>
      <x:c r="F87" s="95" t="n">
        <x:f>COUNTIFS('Data &amp; Targets'!$C$6:$C$233,A87,'Data &amp; Targets'!$F$6:$F$233,C87,'Data &amp; Targets'!$J$6:$J$233,F$30,'Data &amp; Targets'!$K$6:$K$233,1)</x:f>
        <x:v>0</x:v>
      </x:c>
      <x:c r="G87" s="95" t="n">
        <x:f>COUNTIFS('Data &amp; Targets'!$C$6:$C$233,A87,'Data &amp; Targets'!$F$6:$F$233,C87,'Data &amp; Targets'!$J$6:$J$233,G$30,'Data &amp; Targets'!$K$6:$K$233,1)</x:f>
        <x:v>0</x:v>
      </x:c>
      <x:c r="H87" s="95" t="n">
        <x:f>COUNTIFS('Data &amp; Targets'!$C$6:$C$233,A87,'Data &amp; Targets'!$F$6:$F$233,C87,'Data &amp; Targets'!$J$6:$J$233,H$30,'Data &amp; Targets'!$K$6:$K$233,1)</x:f>
        <x:v>0</x:v>
      </x:c>
      <x:c r="I87" s="95" t="n">
        <x:f>COUNTIFS('Data &amp; Targets'!$C$6:$C$233,A87,'Data &amp; Targets'!$F$6:$F$233,C87,'Data &amp; Targets'!$J$6:$J$233,I$30,'Data &amp; Targets'!$K$6:$K$233,1)</x:f>
        <x:v>0</x:v>
      </x:c>
      <x:c r="J87" s="95" t="n">
        <x:f>COUNTIFS('Data &amp; Targets'!$C$6:$C$233,A87,'Data &amp; Targets'!$F$6:$F$233,C87,'Data &amp; Targets'!$J$6:$J$233,J$30,'Data &amp; Targets'!$K$6:$K$233,1)</x:f>
        <x:v>0</x:v>
      </x:c>
      <x:c r="K87" s="95" t="n">
        <x:f>SUM(D87:J87)</x:f>
        <x:v>3</x:v>
      </x:c>
      <x:c r="L87" s="108"/>
      <x:c r="M87" s="95" t="str">
        <x:f>IF(L87="","",K87-L87)</x:f>
      </x:c>
      <x:c r="N87" s="108"/>
    </x:row>
    <x:row r="88" ht="35" customHeight="1">
      <x:c r="A88" s="95" t="str">
        <x:v>D44</x:v>
      </x:c>
      <x:c r="B88" s="95" t="str">
        <x:v>OPD3</x:v>
      </x:c>
      <x:c r="C88" s="95" t="str">
        <x:v>Collection</x:v>
      </x:c>
      <x:c r="D88" s="95" t="n">
        <x:f>COUNTIFS('Data &amp; Targets'!$C$6:$C$233,A88,'Data &amp; Targets'!$F$6:$F$233,C88,'Data &amp; Targets'!$J$6:$J$233,D$30,'Data &amp; Targets'!$K$6:$K$233,1)</x:f>
        <x:v>3</x:v>
      </x:c>
      <x:c r="E88" s="95" t="n">
        <x:f>COUNTIFS('Data &amp; Targets'!$C$6:$C$233,A88,'Data &amp; Targets'!$F$6:$F$233,C88,'Data &amp; Targets'!$J$6:$J$233,E$30,'Data &amp; Targets'!$K$6:$K$233,1)</x:f>
        <x:v>0</x:v>
      </x:c>
      <x:c r="F88" s="95" t="n">
        <x:f>COUNTIFS('Data &amp; Targets'!$C$6:$C$233,A88,'Data &amp; Targets'!$F$6:$F$233,C88,'Data &amp; Targets'!$J$6:$J$233,F$30,'Data &amp; Targets'!$K$6:$K$233,1)</x:f>
        <x:v>0</x:v>
      </x:c>
      <x:c r="G88" s="95" t="n">
        <x:f>COUNTIFS('Data &amp; Targets'!$C$6:$C$233,A88,'Data &amp; Targets'!$F$6:$F$233,C88,'Data &amp; Targets'!$J$6:$J$233,G$30,'Data &amp; Targets'!$K$6:$K$233,1)</x:f>
        <x:v>0</x:v>
      </x:c>
      <x:c r="H88" s="95" t="n">
        <x:f>COUNTIFS('Data &amp; Targets'!$C$6:$C$233,A88,'Data &amp; Targets'!$F$6:$F$233,C88,'Data &amp; Targets'!$J$6:$J$233,H$30,'Data &amp; Targets'!$K$6:$K$233,1)</x:f>
        <x:v>0</x:v>
      </x:c>
      <x:c r="I88" s="95" t="n">
        <x:f>COUNTIFS('Data &amp; Targets'!$C$6:$C$233,A88,'Data &amp; Targets'!$F$6:$F$233,C88,'Data &amp; Targets'!$J$6:$J$233,I$30,'Data &amp; Targets'!$K$6:$K$233,1)</x:f>
        <x:v>0</x:v>
      </x:c>
      <x:c r="J88" s="95" t="n">
        <x:f>COUNTIFS('Data &amp; Targets'!$C$6:$C$233,A88,'Data &amp; Targets'!$F$6:$F$233,C88,'Data &amp; Targets'!$J$6:$J$233,J$30,'Data &amp; Targets'!$K$6:$K$233,1)</x:f>
        <x:v>0</x:v>
      </x:c>
      <x:c r="K88" s="95" t="n">
        <x:f>SUM(D88:J88)</x:f>
        <x:v>3</x:v>
      </x:c>
      <x:c r="L88" s="108"/>
      <x:c r="M88" s="95" t="str">
        <x:f>IF(L88="","",K88-L88)</x:f>
      </x:c>
      <x:c r="N88" s="108"/>
    </x:row>
    <x:row r="89" ht="35" customHeight="1">
      <x:c r="A89" s="95" t="str">
        <x:v>D29</x:v>
      </x:c>
      <x:c r="B89" s="95" t="str">
        <x:v>Paediatric Inpatients</x:v>
      </x:c>
      <x:c r="C89" s="95" t="str">
        <x:v>Delivery</x:v>
      </x:c>
      <x:c r="D89" s="95" t="n">
        <x:f>COUNTIFS('Data &amp; Targets'!$C$6:$C$233,A89,'Data &amp; Targets'!$F$6:$F$233,C89,'Data &amp; Targets'!$J$6:$J$233,D$30,'Data &amp; Targets'!$K$6:$K$233,1)</x:f>
        <x:v>0</x:v>
      </x:c>
      <x:c r="E89" s="95" t="n">
        <x:f>COUNTIFS('Data &amp; Targets'!$C$6:$C$233,A89,'Data &amp; Targets'!$F$6:$F$233,C89,'Data &amp; Targets'!$J$6:$J$233,E$30,'Data &amp; Targets'!$K$6:$K$233,1)</x:f>
        <x:v>0</x:v>
      </x:c>
      <x:c r="F89" s="95" t="n">
        <x:f>COUNTIFS('Data &amp; Targets'!$C$6:$C$233,A89,'Data &amp; Targets'!$F$6:$F$233,C89,'Data &amp; Targets'!$J$6:$J$233,F$30,'Data &amp; Targets'!$K$6:$K$233,1)</x:f>
        <x:v>0</x:v>
      </x:c>
      <x:c r="G89" s="95" t="n">
        <x:f>COUNTIFS('Data &amp; Targets'!$C$6:$C$233,A89,'Data &amp; Targets'!$F$6:$F$233,C89,'Data &amp; Targets'!$J$6:$J$233,G$30,'Data &amp; Targets'!$K$6:$K$233,1)</x:f>
        <x:v>3</x:v>
      </x:c>
      <x:c r="H89" s="95" t="n">
        <x:f>COUNTIFS('Data &amp; Targets'!$C$6:$C$233,A89,'Data &amp; Targets'!$F$6:$F$233,C89,'Data &amp; Targets'!$J$6:$J$233,H$30,'Data &amp; Targets'!$K$6:$K$233,1)</x:f>
        <x:v>0</x:v>
      </x:c>
      <x:c r="I89" s="95" t="n">
        <x:f>COUNTIFS('Data &amp; Targets'!$C$6:$C$233,A89,'Data &amp; Targets'!$F$6:$F$233,C89,'Data &amp; Targets'!$J$6:$J$233,I$30,'Data &amp; Targets'!$K$6:$K$233,1)</x:f>
        <x:v>0</x:v>
      </x:c>
      <x:c r="J89" s="95" t="n">
        <x:f>COUNTIFS('Data &amp; Targets'!$C$6:$C$233,A89,'Data &amp; Targets'!$F$6:$F$233,C89,'Data &amp; Targets'!$J$6:$J$233,J$30,'Data &amp; Targets'!$K$6:$K$233,1)</x:f>
        <x:v>0</x:v>
      </x:c>
      <x:c r="K89" s="95" t="n">
        <x:f>SUM(D89:J89)</x:f>
        <x:v>3</x:v>
      </x:c>
      <x:c r="L89" s="108"/>
      <x:c r="M89" s="95" t="str">
        <x:f>IF(L89="","",K89-L89)</x:f>
      </x:c>
      <x:c r="N89" s="108"/>
    </x:row>
    <x:row r="90" ht="35" customHeight="1">
      <x:c r="A90" s="95" t="str">
        <x:v>D29</x:v>
      </x:c>
      <x:c r="B90" s="95" t="str">
        <x:v>Paediatric Inpatients</x:v>
      </x:c>
      <x:c r="C90" s="95" t="str">
        <x:v>Collection</x:v>
      </x:c>
      <x:c r="D90" s="95" t="n">
        <x:f>COUNTIFS('Data &amp; Targets'!$C$6:$C$233,A90,'Data &amp; Targets'!$F$6:$F$233,C90,'Data &amp; Targets'!$J$6:$J$233,D$30,'Data &amp; Targets'!$K$6:$K$233,1)</x:f>
        <x:v>0</x:v>
      </x:c>
      <x:c r="E90" s="95" t="n">
        <x:f>COUNTIFS('Data &amp; Targets'!$C$6:$C$233,A90,'Data &amp; Targets'!$F$6:$F$233,C90,'Data &amp; Targets'!$J$6:$J$233,E$30,'Data &amp; Targets'!$K$6:$K$233,1)</x:f>
        <x:v>0</x:v>
      </x:c>
      <x:c r="F90" s="95" t="n">
        <x:f>COUNTIFS('Data &amp; Targets'!$C$6:$C$233,A90,'Data &amp; Targets'!$F$6:$F$233,C90,'Data &amp; Targets'!$J$6:$J$233,F$30,'Data &amp; Targets'!$K$6:$K$233,1)</x:f>
        <x:v>0</x:v>
      </x:c>
      <x:c r="G90" s="95" t="n">
        <x:f>COUNTIFS('Data &amp; Targets'!$C$6:$C$233,A90,'Data &amp; Targets'!$F$6:$F$233,C90,'Data &amp; Targets'!$J$6:$J$233,G$30,'Data &amp; Targets'!$K$6:$K$233,1)</x:f>
        <x:v>3</x:v>
      </x:c>
      <x:c r="H90" s="95" t="n">
        <x:f>COUNTIFS('Data &amp; Targets'!$C$6:$C$233,A90,'Data &amp; Targets'!$F$6:$F$233,C90,'Data &amp; Targets'!$J$6:$J$233,H$30,'Data &amp; Targets'!$K$6:$K$233,1)</x:f>
        <x:v>0</x:v>
      </x:c>
      <x:c r="I90" s="95" t="n">
        <x:f>COUNTIFS('Data &amp; Targets'!$C$6:$C$233,A90,'Data &amp; Targets'!$F$6:$F$233,C90,'Data &amp; Targets'!$J$6:$J$233,I$30,'Data &amp; Targets'!$K$6:$K$233,1)</x:f>
        <x:v>0</x:v>
      </x:c>
      <x:c r="J90" s="95" t="n">
        <x:f>COUNTIFS('Data &amp; Targets'!$C$6:$C$233,A90,'Data &amp; Targets'!$F$6:$F$233,C90,'Data &amp; Targets'!$J$6:$J$233,J$30,'Data &amp; Targets'!$K$6:$K$233,1)</x:f>
        <x:v>0</x:v>
      </x:c>
      <x:c r="K90" s="95" t="n">
        <x:f>SUM(D90:J90)</x:f>
        <x:v>3</x:v>
      </x:c>
      <x:c r="L90" s="108"/>
      <x:c r="M90" s="95" t="str">
        <x:f>IF(L90="","",K90-L90)</x:f>
      </x:c>
      <x:c r="N90" s="108"/>
    </x:row>
    <x:row r="91" ht="35" customHeight="1">
      <x:c r="A91" s="95" t="str">
        <x:v>D35</x:v>
      </x:c>
      <x:c r="B91" s="95" t="str">
        <x:v>Respiratory Inpatients</x:v>
      </x:c>
      <x:c r="C91" s="95" t="str">
        <x:v>Delivery</x:v>
      </x:c>
      <x:c r="D91" s="95" t="n">
        <x:f>COUNTIFS('Data &amp; Targets'!$C$6:$C$233,A91,'Data &amp; Targets'!$F$6:$F$233,C91,'Data &amp; Targets'!$J$6:$J$233,D$30,'Data &amp; Targets'!$K$6:$K$233,1)</x:f>
        <x:v>0</x:v>
      </x:c>
      <x:c r="E91" s="95" t="n">
        <x:f>COUNTIFS('Data &amp; Targets'!$C$6:$C$233,A91,'Data &amp; Targets'!$F$6:$F$233,C91,'Data &amp; Targets'!$J$6:$J$233,E$30,'Data &amp; Targets'!$K$6:$K$233,1)</x:f>
        <x:v>3</x:v>
      </x:c>
      <x:c r="F91" s="95" t="n">
        <x:f>COUNTIFS('Data &amp; Targets'!$C$6:$C$233,A91,'Data &amp; Targets'!$F$6:$F$233,C91,'Data &amp; Targets'!$J$6:$J$233,F$30,'Data &amp; Targets'!$K$6:$K$233,1)</x:f>
        <x:v>0</x:v>
      </x:c>
      <x:c r="G91" s="95" t="n">
        <x:f>COUNTIFS('Data &amp; Targets'!$C$6:$C$233,A91,'Data &amp; Targets'!$F$6:$F$233,C91,'Data &amp; Targets'!$J$6:$J$233,G$30,'Data &amp; Targets'!$K$6:$K$233,1)</x:f>
        <x:v>0</x:v>
      </x:c>
      <x:c r="H91" s="95" t="n">
        <x:f>COUNTIFS('Data &amp; Targets'!$C$6:$C$233,A91,'Data &amp; Targets'!$F$6:$F$233,C91,'Data &amp; Targets'!$J$6:$J$233,H$30,'Data &amp; Targets'!$K$6:$K$233,1)</x:f>
        <x:v>0</x:v>
      </x:c>
      <x:c r="I91" s="95" t="n">
        <x:f>COUNTIFS('Data &amp; Targets'!$C$6:$C$233,A91,'Data &amp; Targets'!$F$6:$F$233,C91,'Data &amp; Targets'!$J$6:$J$233,I$30,'Data &amp; Targets'!$K$6:$K$233,1)</x:f>
        <x:v>0</x:v>
      </x:c>
      <x:c r="J91" s="95" t="n">
        <x:f>COUNTIFS('Data &amp; Targets'!$C$6:$C$233,A91,'Data &amp; Targets'!$F$6:$F$233,C91,'Data &amp; Targets'!$J$6:$J$233,J$30,'Data &amp; Targets'!$K$6:$K$233,1)</x:f>
        <x:v>0</x:v>
      </x:c>
      <x:c r="K91" s="95" t="n">
        <x:f>SUM(D91:J91)</x:f>
        <x:v>3</x:v>
      </x:c>
      <x:c r="L91" s="108"/>
      <x:c r="M91" s="95" t="str">
        <x:f>IF(L91="","",K91-L91)</x:f>
      </x:c>
      <x:c r="N91" s="108"/>
    </x:row>
    <x:row r="92" ht="35" customHeight="1">
      <x:c r="A92" s="95" t="str">
        <x:v>D35</x:v>
      </x:c>
      <x:c r="B92" s="95" t="str">
        <x:v>Respiratory Inpatients</x:v>
      </x:c>
      <x:c r="C92" s="95" t="str">
        <x:v>Collection</x:v>
      </x:c>
      <x:c r="D92" s="95" t="n">
        <x:f>COUNTIFS('Data &amp; Targets'!$C$6:$C$233,A92,'Data &amp; Targets'!$F$6:$F$233,C92,'Data &amp; Targets'!$J$6:$J$233,D$30,'Data &amp; Targets'!$K$6:$K$233,1)</x:f>
        <x:v>0</x:v>
      </x:c>
      <x:c r="E92" s="95" t="n">
        <x:f>COUNTIFS('Data &amp; Targets'!$C$6:$C$233,A92,'Data &amp; Targets'!$F$6:$F$233,C92,'Data &amp; Targets'!$J$6:$J$233,E$30,'Data &amp; Targets'!$K$6:$K$233,1)</x:f>
        <x:v>3</x:v>
      </x:c>
      <x:c r="F92" s="95" t="n">
        <x:f>COUNTIFS('Data &amp; Targets'!$C$6:$C$233,A92,'Data &amp; Targets'!$F$6:$F$233,C92,'Data &amp; Targets'!$J$6:$J$233,F$30,'Data &amp; Targets'!$K$6:$K$233,1)</x:f>
        <x:v>0</x:v>
      </x:c>
      <x:c r="G92" s="95" t="n">
        <x:f>COUNTIFS('Data &amp; Targets'!$C$6:$C$233,A92,'Data &amp; Targets'!$F$6:$F$233,C92,'Data &amp; Targets'!$J$6:$J$233,G$30,'Data &amp; Targets'!$K$6:$K$233,1)</x:f>
        <x:v>0</x:v>
      </x:c>
      <x:c r="H92" s="95" t="n">
        <x:f>COUNTIFS('Data &amp; Targets'!$C$6:$C$233,A92,'Data &amp; Targets'!$F$6:$F$233,C92,'Data &amp; Targets'!$J$6:$J$233,H$30,'Data &amp; Targets'!$K$6:$K$233,1)</x:f>
        <x:v>0</x:v>
      </x:c>
      <x:c r="I92" s="95" t="n">
        <x:f>COUNTIFS('Data &amp; Targets'!$C$6:$C$233,A92,'Data &amp; Targets'!$F$6:$F$233,C92,'Data &amp; Targets'!$J$6:$J$233,I$30,'Data &amp; Targets'!$K$6:$K$233,1)</x:f>
        <x:v>0</x:v>
      </x:c>
      <x:c r="J92" s="95" t="n">
        <x:f>COUNTIFS('Data &amp; Targets'!$C$6:$C$233,A92,'Data &amp; Targets'!$F$6:$F$233,C92,'Data &amp; Targets'!$J$6:$J$233,J$30,'Data &amp; Targets'!$K$6:$K$233,1)</x:f>
        <x:v>0</x:v>
      </x:c>
      <x:c r="K92" s="95" t="n">
        <x:f>SUM(D92:J92)</x:f>
        <x:v>3</x:v>
      </x:c>
      <x:c r="L92" s="108"/>
      <x:c r="M92" s="95" t="str">
        <x:f>IF(L92="","",K92-L92)</x:f>
      </x:c>
      <x:c r="N92" s="108"/>
    </x:row>
    <x:row r="93" ht="35" customHeight="1">
      <x:c r="A93" s="95" t="str">
        <x:v>D2</x:v>
      </x:c>
      <x:c r="B93" s="95" t="str">
        <x:v>SDEC</x:v>
      </x:c>
      <x:c r="C93" s="95" t="str">
        <x:v>Delivery</x:v>
      </x:c>
      <x:c r="D93" s="95" t="n">
        <x:f>COUNTIFS('Data &amp; Targets'!$C$6:$C$233,A93,'Data &amp; Targets'!$F$6:$F$233,C93,'Data &amp; Targets'!$J$6:$J$233,D$30,'Data &amp; Targets'!$K$6:$K$233,1)</x:f>
        <x:v>3</x:v>
      </x:c>
      <x:c r="E93" s="95" t="n">
        <x:f>COUNTIFS('Data &amp; Targets'!$C$6:$C$233,A93,'Data &amp; Targets'!$F$6:$F$233,C93,'Data &amp; Targets'!$J$6:$J$233,E$30,'Data &amp; Targets'!$K$6:$K$233,1)</x:f>
        <x:v>0</x:v>
      </x:c>
      <x:c r="F93" s="95" t="n">
        <x:f>COUNTIFS('Data &amp; Targets'!$C$6:$C$233,A93,'Data &amp; Targets'!$F$6:$F$233,C93,'Data &amp; Targets'!$J$6:$J$233,F$30,'Data &amp; Targets'!$K$6:$K$233,1)</x:f>
        <x:v>0</x:v>
      </x:c>
      <x:c r="G93" s="95" t="n">
        <x:f>COUNTIFS('Data &amp; Targets'!$C$6:$C$233,A93,'Data &amp; Targets'!$F$6:$F$233,C93,'Data &amp; Targets'!$J$6:$J$233,G$30,'Data &amp; Targets'!$K$6:$K$233,1)</x:f>
        <x:v>0</x:v>
      </x:c>
      <x:c r="H93" s="95" t="n">
        <x:f>COUNTIFS('Data &amp; Targets'!$C$6:$C$233,A93,'Data &amp; Targets'!$F$6:$F$233,C93,'Data &amp; Targets'!$J$6:$J$233,H$30,'Data &amp; Targets'!$K$6:$K$233,1)</x:f>
        <x:v>0</x:v>
      </x:c>
      <x:c r="I93" s="95" t="n">
        <x:f>COUNTIFS('Data &amp; Targets'!$C$6:$C$233,A93,'Data &amp; Targets'!$F$6:$F$233,C93,'Data &amp; Targets'!$J$6:$J$233,I$30,'Data &amp; Targets'!$K$6:$K$233,1)</x:f>
        <x:v>0</x:v>
      </x:c>
      <x:c r="J93" s="95" t="n">
        <x:f>COUNTIFS('Data &amp; Targets'!$C$6:$C$233,A93,'Data &amp; Targets'!$F$6:$F$233,C93,'Data &amp; Targets'!$J$6:$J$233,J$30,'Data &amp; Targets'!$K$6:$K$233,1)</x:f>
        <x:v>0</x:v>
      </x:c>
      <x:c r="K93" s="95" t="n">
        <x:f>SUM(D93:J93)</x:f>
        <x:v>3</x:v>
      </x:c>
      <x:c r="L93" s="108"/>
      <x:c r="M93" s="95" t="str">
        <x:f>IF(L93="","",K93-L93)</x:f>
      </x:c>
      <x:c r="N93" s="108"/>
    </x:row>
    <x:row r="94" ht="35" customHeight="1">
      <x:c r="A94" s="95" t="str">
        <x:v>D2</x:v>
      </x:c>
      <x:c r="B94" s="95" t="str">
        <x:v>SDEC</x:v>
      </x:c>
      <x:c r="C94" s="95" t="str">
        <x:v>Collection</x:v>
      </x:c>
      <x:c r="D94" s="95" t="n">
        <x:f>COUNTIFS('Data &amp; Targets'!$C$6:$C$233,A94,'Data &amp; Targets'!$F$6:$F$233,C94,'Data &amp; Targets'!$J$6:$J$233,D$30,'Data &amp; Targets'!$K$6:$K$233,1)</x:f>
        <x:v>3</x:v>
      </x:c>
      <x:c r="E94" s="95" t="n">
        <x:f>COUNTIFS('Data &amp; Targets'!$C$6:$C$233,A94,'Data &amp; Targets'!$F$6:$F$233,C94,'Data &amp; Targets'!$J$6:$J$233,E$30,'Data &amp; Targets'!$K$6:$K$233,1)</x:f>
        <x:v>0</x:v>
      </x:c>
      <x:c r="F94" s="95" t="n">
        <x:f>COUNTIFS('Data &amp; Targets'!$C$6:$C$233,A94,'Data &amp; Targets'!$F$6:$F$233,C94,'Data &amp; Targets'!$J$6:$J$233,F$30,'Data &amp; Targets'!$K$6:$K$233,1)</x:f>
        <x:v>0</x:v>
      </x:c>
      <x:c r="G94" s="95" t="n">
        <x:f>COUNTIFS('Data &amp; Targets'!$C$6:$C$233,A94,'Data &amp; Targets'!$F$6:$F$233,C94,'Data &amp; Targets'!$J$6:$J$233,G$30,'Data &amp; Targets'!$K$6:$K$233,1)</x:f>
        <x:v>0</x:v>
      </x:c>
      <x:c r="H94" s="95" t="n">
        <x:f>COUNTIFS('Data &amp; Targets'!$C$6:$C$233,A94,'Data &amp; Targets'!$F$6:$F$233,C94,'Data &amp; Targets'!$J$6:$J$233,H$30,'Data &amp; Targets'!$K$6:$K$233,1)</x:f>
        <x:v>0</x:v>
      </x:c>
      <x:c r="I94" s="95" t="n">
        <x:f>COUNTIFS('Data &amp; Targets'!$C$6:$C$233,A94,'Data &amp; Targets'!$F$6:$F$233,C94,'Data &amp; Targets'!$J$6:$J$233,I$30,'Data &amp; Targets'!$K$6:$K$233,1)</x:f>
        <x:v>0</x:v>
      </x:c>
      <x:c r="J94" s="95" t="n">
        <x:f>COUNTIFS('Data &amp; Targets'!$C$6:$C$233,A94,'Data &amp; Targets'!$F$6:$F$233,C94,'Data &amp; Targets'!$J$6:$J$233,J$30,'Data &amp; Targets'!$K$6:$K$233,1)</x:f>
        <x:v>0</x:v>
      </x:c>
      <x:c r="K94" s="95" t="n">
        <x:f>SUM(D94:J94)</x:f>
        <x:v>3</x:v>
      </x:c>
      <x:c r="L94" s="108"/>
      <x:c r="M94" s="95" t="str">
        <x:f>IF(L94="","",K94-L94)</x:f>
      </x:c>
      <x:c r="N94" s="108"/>
    </x:row>
    <x:row r="95" ht="35" customHeight="1">
      <x:c r="A95" s="95" t="str">
        <x:v>D42</x:v>
      </x:c>
      <x:c r="B95" s="95" t="str">
        <x:v>Stroke Inpatients</x:v>
      </x:c>
      <x:c r="C95" s="95" t="str">
        <x:v>Delivery</x:v>
      </x:c>
      <x:c r="D95" s="95" t="n">
        <x:f>COUNTIFS('Data &amp; Targets'!$C$6:$C$233,A95,'Data &amp; Targets'!$F$6:$F$233,C95,'Data &amp; Targets'!$J$6:$J$233,D$30,'Data &amp; Targets'!$K$6:$K$233,1)</x:f>
        <x:v>0</x:v>
      </x:c>
      <x:c r="E95" s="95" t="n">
        <x:f>COUNTIFS('Data &amp; Targets'!$C$6:$C$233,A95,'Data &amp; Targets'!$F$6:$F$233,C95,'Data &amp; Targets'!$J$6:$J$233,E$30,'Data &amp; Targets'!$K$6:$K$233,1)</x:f>
        <x:v>3</x:v>
      </x:c>
      <x:c r="F95" s="95" t="n">
        <x:f>COUNTIFS('Data &amp; Targets'!$C$6:$C$233,A95,'Data &amp; Targets'!$F$6:$F$233,C95,'Data &amp; Targets'!$J$6:$J$233,F$30,'Data &amp; Targets'!$K$6:$K$233,1)</x:f>
        <x:v>0</x:v>
      </x:c>
      <x:c r="G95" s="95" t="n">
        <x:f>COUNTIFS('Data &amp; Targets'!$C$6:$C$233,A95,'Data &amp; Targets'!$F$6:$F$233,C95,'Data &amp; Targets'!$J$6:$J$233,G$30,'Data &amp; Targets'!$K$6:$K$233,1)</x:f>
        <x:v>0</x:v>
      </x:c>
      <x:c r="H95" s="95" t="n">
        <x:f>COUNTIFS('Data &amp; Targets'!$C$6:$C$233,A95,'Data &amp; Targets'!$F$6:$F$233,C95,'Data &amp; Targets'!$J$6:$J$233,H$30,'Data &amp; Targets'!$K$6:$K$233,1)</x:f>
        <x:v>0</x:v>
      </x:c>
      <x:c r="I95" s="95" t="n">
        <x:f>COUNTIFS('Data &amp; Targets'!$C$6:$C$233,A95,'Data &amp; Targets'!$F$6:$F$233,C95,'Data &amp; Targets'!$J$6:$J$233,I$30,'Data &amp; Targets'!$K$6:$K$233,1)</x:f>
        <x:v>0</x:v>
      </x:c>
      <x:c r="J95" s="95" t="n">
        <x:f>COUNTIFS('Data &amp; Targets'!$C$6:$C$233,A95,'Data &amp; Targets'!$F$6:$F$233,C95,'Data &amp; Targets'!$J$6:$J$233,J$30,'Data &amp; Targets'!$K$6:$K$233,1)</x:f>
        <x:v>0</x:v>
      </x:c>
      <x:c r="K95" s="95" t="n">
        <x:f>SUM(D95:J95)</x:f>
        <x:v>3</x:v>
      </x:c>
      <x:c r="L95" s="108"/>
      <x:c r="M95" s="95" t="str">
        <x:f>IF(L95="","",K95-L95)</x:f>
      </x:c>
      <x:c r="N95" s="108"/>
    </x:row>
    <x:row r="96" ht="35" customHeight="1">
      <x:c r="A96" s="95" t="str">
        <x:v>D42</x:v>
      </x:c>
      <x:c r="B96" s="95" t="str">
        <x:v>Stroke Inpatients</x:v>
      </x:c>
      <x:c r="C96" s="95" t="str">
        <x:v>Collection</x:v>
      </x:c>
      <x:c r="D96" s="95" t="n">
        <x:f>COUNTIFS('Data &amp; Targets'!$C$6:$C$233,A96,'Data &amp; Targets'!$F$6:$F$233,C96,'Data &amp; Targets'!$J$6:$J$233,D$30,'Data &amp; Targets'!$K$6:$K$233,1)</x:f>
        <x:v>0</x:v>
      </x:c>
      <x:c r="E96" s="95" t="n">
        <x:f>COUNTIFS('Data &amp; Targets'!$C$6:$C$233,A96,'Data &amp; Targets'!$F$6:$F$233,C96,'Data &amp; Targets'!$J$6:$J$233,E$30,'Data &amp; Targets'!$K$6:$K$233,1)</x:f>
        <x:v>3</x:v>
      </x:c>
      <x:c r="F96" s="95" t="n">
        <x:f>COUNTIFS('Data &amp; Targets'!$C$6:$C$233,A96,'Data &amp; Targets'!$F$6:$F$233,C96,'Data &amp; Targets'!$J$6:$J$233,F$30,'Data &amp; Targets'!$K$6:$K$233,1)</x:f>
        <x:v>0</x:v>
      </x:c>
      <x:c r="G96" s="95" t="n">
        <x:f>COUNTIFS('Data &amp; Targets'!$C$6:$C$233,A96,'Data &amp; Targets'!$F$6:$F$233,C96,'Data &amp; Targets'!$J$6:$J$233,G$30,'Data &amp; Targets'!$K$6:$K$233,1)</x:f>
        <x:v>0</x:v>
      </x:c>
      <x:c r="H96" s="95" t="n">
        <x:f>COUNTIFS('Data &amp; Targets'!$C$6:$C$233,A96,'Data &amp; Targets'!$F$6:$F$233,C96,'Data &amp; Targets'!$J$6:$J$233,H$30,'Data &amp; Targets'!$K$6:$K$233,1)</x:f>
        <x:v>0</x:v>
      </x:c>
      <x:c r="I96" s="95" t="n">
        <x:f>COUNTIFS('Data &amp; Targets'!$C$6:$C$233,A96,'Data &amp; Targets'!$F$6:$F$233,C96,'Data &amp; Targets'!$J$6:$J$233,I$30,'Data &amp; Targets'!$K$6:$K$233,1)</x:f>
        <x:v>0</x:v>
      </x:c>
      <x:c r="J96" s="95" t="n">
        <x:f>COUNTIFS('Data &amp; Targets'!$C$6:$C$233,A96,'Data &amp; Targets'!$F$6:$F$233,C96,'Data &amp; Targets'!$J$6:$J$233,J$30,'Data &amp; Targets'!$K$6:$K$233,1)</x:f>
        <x:v>0</x:v>
      </x:c>
      <x:c r="K96" s="95" t="n">
        <x:f>SUM(D96:J96)</x:f>
        <x:v>3</x:v>
      </x:c>
      <x:c r="L96" s="108"/>
      <x:c r="M96" s="95" t="str">
        <x:f>IF(L96="","",K96-L96)</x:f>
      </x:c>
      <x:c r="N96" s="108"/>
    </x:row>
    <x:row r="97" ht="35" customHeight="1">
      <x:c r="A97" s="95" t="str">
        <x:v>D46</x:v>
      </x:c>
      <x:c r="B97" s="95" t="str">
        <x:v>Surgical Ward</x:v>
      </x:c>
      <x:c r="C97" s="95" t="str">
        <x:v>Delivery</x:v>
      </x:c>
      <x:c r="D97" s="95" t="n">
        <x:f>COUNTIFS('Data &amp; Targets'!$C$6:$C$233,A97,'Data &amp; Targets'!$F$6:$F$233,C97,'Data &amp; Targets'!$J$6:$J$233,D$30,'Data &amp; Targets'!$K$6:$K$233,1)</x:f>
        <x:v>0</x:v>
      </x:c>
      <x:c r="E97" s="95" t="n">
        <x:f>COUNTIFS('Data &amp; Targets'!$C$6:$C$233,A97,'Data &amp; Targets'!$F$6:$F$233,C97,'Data &amp; Targets'!$J$6:$J$233,E$30,'Data &amp; Targets'!$K$6:$K$233,1)</x:f>
        <x:v>0</x:v>
      </x:c>
      <x:c r="F97" s="95" t="n">
        <x:f>COUNTIFS('Data &amp; Targets'!$C$6:$C$233,A97,'Data &amp; Targets'!$F$6:$F$233,C97,'Data &amp; Targets'!$J$6:$J$233,F$30,'Data &amp; Targets'!$K$6:$K$233,1)</x:f>
        <x:v>3</x:v>
      </x:c>
      <x:c r="G97" s="95" t="n">
        <x:f>COUNTIFS('Data &amp; Targets'!$C$6:$C$233,A97,'Data &amp; Targets'!$F$6:$F$233,C97,'Data &amp; Targets'!$J$6:$J$233,G$30,'Data &amp; Targets'!$K$6:$K$233,1)</x:f>
        <x:v>0</x:v>
      </x:c>
      <x:c r="H97" s="95" t="n">
        <x:f>COUNTIFS('Data &amp; Targets'!$C$6:$C$233,A97,'Data &amp; Targets'!$F$6:$F$233,C97,'Data &amp; Targets'!$J$6:$J$233,H$30,'Data &amp; Targets'!$K$6:$K$233,1)</x:f>
        <x:v>0</x:v>
      </x:c>
      <x:c r="I97" s="95" t="n">
        <x:f>COUNTIFS('Data &amp; Targets'!$C$6:$C$233,A97,'Data &amp; Targets'!$F$6:$F$233,C97,'Data &amp; Targets'!$J$6:$J$233,I$30,'Data &amp; Targets'!$K$6:$K$233,1)</x:f>
        <x:v>0</x:v>
      </x:c>
      <x:c r="J97" s="95" t="n">
        <x:f>COUNTIFS('Data &amp; Targets'!$C$6:$C$233,A97,'Data &amp; Targets'!$F$6:$F$233,C97,'Data &amp; Targets'!$J$6:$J$233,J$30,'Data &amp; Targets'!$K$6:$K$233,1)</x:f>
        <x:v>0</x:v>
      </x:c>
      <x:c r="K97" s="95" t="n">
        <x:f>SUM(D97:J97)</x:f>
        <x:v>3</x:v>
      </x:c>
      <x:c r="L97" s="108"/>
      <x:c r="M97" s="95" t="str">
        <x:f>IF(L97="","",K97-L97)</x:f>
      </x:c>
      <x:c r="N97" s="108"/>
    </x:row>
    <x:row r="98" ht="35" customHeight="1">
      <x:c r="A98" s="95" t="str">
        <x:v>D46</x:v>
      </x:c>
      <x:c r="B98" s="95" t="str">
        <x:v>Surgical Ward</x:v>
      </x:c>
      <x:c r="C98" s="95" t="str">
        <x:v>Collection</x:v>
      </x:c>
      <x:c r="D98" s="95" t="n">
        <x:f>COUNTIFS('Data &amp; Targets'!$C$6:$C$233,A98,'Data &amp; Targets'!$F$6:$F$233,C98,'Data &amp; Targets'!$J$6:$J$233,D$30,'Data &amp; Targets'!$K$6:$K$233,1)</x:f>
        <x:v>0</x:v>
      </x:c>
      <x:c r="E98" s="95" t="n">
        <x:f>COUNTIFS('Data &amp; Targets'!$C$6:$C$233,A98,'Data &amp; Targets'!$F$6:$F$233,C98,'Data &amp; Targets'!$J$6:$J$233,E$30,'Data &amp; Targets'!$K$6:$K$233,1)</x:f>
        <x:v>0</x:v>
      </x:c>
      <x:c r="F98" s="95" t="n">
        <x:f>COUNTIFS('Data &amp; Targets'!$C$6:$C$233,A98,'Data &amp; Targets'!$F$6:$F$233,C98,'Data &amp; Targets'!$J$6:$J$233,F$30,'Data &amp; Targets'!$K$6:$K$233,1)</x:f>
        <x:v>3</x:v>
      </x:c>
      <x:c r="G98" s="95" t="n">
        <x:f>COUNTIFS('Data &amp; Targets'!$C$6:$C$233,A98,'Data &amp; Targets'!$F$6:$F$233,C98,'Data &amp; Targets'!$J$6:$J$233,G$30,'Data &amp; Targets'!$K$6:$K$233,1)</x:f>
        <x:v>0</x:v>
      </x:c>
      <x:c r="H98" s="95" t="n">
        <x:f>COUNTIFS('Data &amp; Targets'!$C$6:$C$233,A98,'Data &amp; Targets'!$F$6:$F$233,C98,'Data &amp; Targets'!$J$6:$J$233,H$30,'Data &amp; Targets'!$K$6:$K$233,1)</x:f>
        <x:v>0</x:v>
      </x:c>
      <x:c r="I98" s="95" t="n">
        <x:f>COUNTIFS('Data &amp; Targets'!$C$6:$C$233,A98,'Data &amp; Targets'!$F$6:$F$233,C98,'Data &amp; Targets'!$J$6:$J$233,I$30,'Data &amp; Targets'!$K$6:$K$233,1)</x:f>
        <x:v>0</x:v>
      </x:c>
      <x:c r="J98" s="95" t="n">
        <x:f>COUNTIFS('Data &amp; Targets'!$C$6:$C$233,A98,'Data &amp; Targets'!$F$6:$F$233,C98,'Data &amp; Targets'!$J$6:$J$233,J$30,'Data &amp; Targets'!$K$6:$K$233,1)</x:f>
        <x:v>0</x:v>
      </x:c>
      <x:c r="K98" s="95" t="n">
        <x:f>SUM(D98:J98)</x:f>
        <x:v>3</x:v>
      </x:c>
      <x:c r="L98" s="108"/>
      <x:c r="M98" s="95" t="str">
        <x:f>IF(L98="","",K98-L98)</x:f>
      </x:c>
      <x:c r="N98" s="108"/>
    </x:row>
    <x:row r="99" ht="35" customHeight="1">
      <x:c r="A99" s="95" t="str">
        <x:v>D20</x:v>
      </x:c>
      <x:c r="B99" s="95" t="str">
        <x:v>Theatres</x:v>
      </x:c>
      <x:c r="C99" s="95" t="str">
        <x:v>Delivery</x:v>
      </x:c>
      <x:c r="D99" s="95" t="n">
        <x:f>COUNTIFS('Data &amp; Targets'!$C$6:$C$233,A99,'Data &amp; Targets'!$F$6:$F$233,C99,'Data &amp; Targets'!$J$6:$J$233,D$30,'Data &amp; Targets'!$K$6:$K$233,1)</x:f>
        <x:v>0</x:v>
      </x:c>
      <x:c r="E99" s="95" t="n">
        <x:f>COUNTIFS('Data &amp; Targets'!$C$6:$C$233,A99,'Data &amp; Targets'!$F$6:$F$233,C99,'Data &amp; Targets'!$J$6:$J$233,E$30,'Data &amp; Targets'!$K$6:$K$233,1)</x:f>
        <x:v>0</x:v>
      </x:c>
      <x:c r="F99" s="95" t="n">
        <x:f>COUNTIFS('Data &amp; Targets'!$C$6:$C$233,A99,'Data &amp; Targets'!$F$6:$F$233,C99,'Data &amp; Targets'!$J$6:$J$233,F$30,'Data &amp; Targets'!$K$6:$K$233,1)</x:f>
        <x:v>0</x:v>
      </x:c>
      <x:c r="G99" s="95" t="n">
        <x:f>COUNTIFS('Data &amp; Targets'!$C$6:$C$233,A99,'Data &amp; Targets'!$F$6:$F$233,C99,'Data &amp; Targets'!$J$6:$J$233,G$30,'Data &amp; Targets'!$K$6:$K$233,1)</x:f>
        <x:v>0</x:v>
      </x:c>
      <x:c r="H99" s="95" t="n">
        <x:f>COUNTIFS('Data &amp; Targets'!$C$6:$C$233,A99,'Data &amp; Targets'!$F$6:$F$233,C99,'Data &amp; Targets'!$J$6:$J$233,H$30,'Data &amp; Targets'!$K$6:$K$233,1)</x:f>
        <x:v>3</x:v>
      </x:c>
      <x:c r="I99" s="95" t="n">
        <x:f>COUNTIFS('Data &amp; Targets'!$C$6:$C$233,A99,'Data &amp; Targets'!$F$6:$F$233,C99,'Data &amp; Targets'!$J$6:$J$233,I$30,'Data &amp; Targets'!$K$6:$K$233,1)</x:f>
        <x:v>0</x:v>
      </x:c>
      <x:c r="J99" s="95" t="n">
        <x:f>COUNTIFS('Data &amp; Targets'!$C$6:$C$233,A99,'Data &amp; Targets'!$F$6:$F$233,C99,'Data &amp; Targets'!$J$6:$J$233,J$30,'Data &amp; Targets'!$K$6:$K$233,1)</x:f>
        <x:v>0</x:v>
      </x:c>
      <x:c r="K99" s="95" t="n">
        <x:f>SUM(D99:J99)</x:f>
        <x:v>3</x:v>
      </x:c>
      <x:c r="L99" s="108"/>
      <x:c r="M99" s="95" t="str">
        <x:f>IF(L99="","",K99-L99)</x:f>
      </x:c>
      <x:c r="N99" s="108"/>
    </x:row>
    <x:row r="100" ht="35" customHeight="1">
      <x:c r="A100" s="95" t="str">
        <x:v>D20</x:v>
      </x:c>
      <x:c r="B100" s="95" t="str">
        <x:v>Theatres</x:v>
      </x:c>
      <x:c r="C100" s="95" t="str">
        <x:v>Collection</x:v>
      </x:c>
      <x:c r="D100" s="95" t="n">
        <x:f>COUNTIFS('Data &amp; Targets'!$C$6:$C$233,A100,'Data &amp; Targets'!$F$6:$F$233,C100,'Data &amp; Targets'!$J$6:$J$233,D$30,'Data &amp; Targets'!$K$6:$K$233,1)</x:f>
        <x:v>0</x:v>
      </x:c>
      <x:c r="E100" s="95" t="n">
        <x:f>COUNTIFS('Data &amp; Targets'!$C$6:$C$233,A100,'Data &amp; Targets'!$F$6:$F$233,C100,'Data &amp; Targets'!$J$6:$J$233,E$30,'Data &amp; Targets'!$K$6:$K$233,1)</x:f>
        <x:v>0</x:v>
      </x:c>
      <x:c r="F100" s="95" t="n">
        <x:f>COUNTIFS('Data &amp; Targets'!$C$6:$C$233,A100,'Data &amp; Targets'!$F$6:$F$233,C100,'Data &amp; Targets'!$J$6:$J$233,F$30,'Data &amp; Targets'!$K$6:$K$233,1)</x:f>
        <x:v>0</x:v>
      </x:c>
      <x:c r="G100" s="95" t="n">
        <x:f>COUNTIFS('Data &amp; Targets'!$C$6:$C$233,A100,'Data &amp; Targets'!$F$6:$F$233,C100,'Data &amp; Targets'!$J$6:$J$233,G$30,'Data &amp; Targets'!$K$6:$K$233,1)</x:f>
        <x:v>0</x:v>
      </x:c>
      <x:c r="H100" s="95" t="n">
        <x:f>COUNTIFS('Data &amp; Targets'!$C$6:$C$233,A100,'Data &amp; Targets'!$F$6:$F$233,C100,'Data &amp; Targets'!$J$6:$J$233,H$30,'Data &amp; Targets'!$K$6:$K$233,1)</x:f>
        <x:v>3</x:v>
      </x:c>
      <x:c r="I100" s="95" t="n">
        <x:f>COUNTIFS('Data &amp; Targets'!$C$6:$C$233,A100,'Data &amp; Targets'!$F$6:$F$233,C100,'Data &amp; Targets'!$J$6:$J$233,I$30,'Data &amp; Targets'!$K$6:$K$233,1)</x:f>
        <x:v>0</x:v>
      </x:c>
      <x:c r="J100" s="95" t="n">
        <x:f>COUNTIFS('Data &amp; Targets'!$C$6:$C$233,A100,'Data &amp; Targets'!$F$6:$F$233,C100,'Data &amp; Targets'!$J$6:$J$233,J$30,'Data &amp; Targets'!$K$6:$K$233,1)</x:f>
        <x:v>0</x:v>
      </x:c>
      <x:c r="K100" s="95" t="n">
        <x:f>SUM(D100:J100)</x:f>
        <x:v>3</x:v>
      </x:c>
      <x:c r="L100" s="108"/>
      <x:c r="M100" s="95" t="str">
        <x:f>IF(L100="","",K100-L100)</x:f>
      </x:c>
      <x:c r="N100" s="108"/>
    </x:row>
    <x:row r="101" ht="35" customHeight="1">
      <x:c r="A101" s="95" t="str">
        <x:v>D3</x:v>
      </x:c>
      <x:c r="B101" s="95" t="str">
        <x:v>Urgent Care</x:v>
      </x:c>
      <x:c r="C101" s="95" t="str">
        <x:v>Delivery</x:v>
      </x:c>
      <x:c r="D101" s="95" t="n">
        <x:f>COUNTIFS('Data &amp; Targets'!$C$6:$C$233,A101,'Data &amp; Targets'!$F$6:$F$233,C101,'Data &amp; Targets'!$J$6:$J$233,D$30,'Data &amp; Targets'!$K$6:$K$233,1)</x:f>
        <x:v>3</x:v>
      </x:c>
      <x:c r="E101" s="95" t="n">
        <x:f>COUNTIFS('Data &amp; Targets'!$C$6:$C$233,A101,'Data &amp; Targets'!$F$6:$F$233,C101,'Data &amp; Targets'!$J$6:$J$233,E$30,'Data &amp; Targets'!$K$6:$K$233,1)</x:f>
        <x:v>0</x:v>
      </x:c>
      <x:c r="F101" s="95" t="n">
        <x:f>COUNTIFS('Data &amp; Targets'!$C$6:$C$233,A101,'Data &amp; Targets'!$F$6:$F$233,C101,'Data &amp; Targets'!$J$6:$J$233,F$30,'Data &amp; Targets'!$K$6:$K$233,1)</x:f>
        <x:v>0</x:v>
      </x:c>
      <x:c r="G101" s="95" t="n">
        <x:f>COUNTIFS('Data &amp; Targets'!$C$6:$C$233,A101,'Data &amp; Targets'!$F$6:$F$233,C101,'Data &amp; Targets'!$J$6:$J$233,G$30,'Data &amp; Targets'!$K$6:$K$233,1)</x:f>
        <x:v>0</x:v>
      </x:c>
      <x:c r="H101" s="95" t="n">
        <x:f>COUNTIFS('Data &amp; Targets'!$C$6:$C$233,A101,'Data &amp; Targets'!$F$6:$F$233,C101,'Data &amp; Targets'!$J$6:$J$233,H$30,'Data &amp; Targets'!$K$6:$K$233,1)</x:f>
        <x:v>0</x:v>
      </x:c>
      <x:c r="I101" s="95" t="n">
        <x:f>COUNTIFS('Data &amp; Targets'!$C$6:$C$233,A101,'Data &amp; Targets'!$F$6:$F$233,C101,'Data &amp; Targets'!$J$6:$J$233,I$30,'Data &amp; Targets'!$K$6:$K$233,1)</x:f>
        <x:v>0</x:v>
      </x:c>
      <x:c r="J101" s="95" t="n">
        <x:f>COUNTIFS('Data &amp; Targets'!$C$6:$C$233,A101,'Data &amp; Targets'!$F$6:$F$233,C101,'Data &amp; Targets'!$J$6:$J$233,J$30,'Data &amp; Targets'!$K$6:$K$233,1)</x:f>
        <x:v>0</x:v>
      </x:c>
      <x:c r="K101" s="95" t="n">
        <x:f>SUM(D101:J101)</x:f>
        <x:v>3</x:v>
      </x:c>
      <x:c r="L101" s="108"/>
      <x:c r="M101" s="95" t="str">
        <x:f>IF(L101="","",K101-L101)</x:f>
      </x:c>
      <x:c r="N101" s="108"/>
    </x:row>
    <x:row r="102" ht="35" customHeight="1">
      <x:c r="A102" s="95" t="str">
        <x:v>D3</x:v>
      </x:c>
      <x:c r="B102" s="95" t="str">
        <x:v>Urgent Care</x:v>
      </x:c>
      <x:c r="C102" s="95" t="str">
        <x:v>Collection</x:v>
      </x:c>
      <x:c r="D102" s="95" t="n">
        <x:f>COUNTIFS('Data &amp; Targets'!$C$6:$C$233,A102,'Data &amp; Targets'!$F$6:$F$233,C102,'Data &amp; Targets'!$J$6:$J$233,D$30,'Data &amp; Targets'!$K$6:$K$233,1)</x:f>
        <x:v>3</x:v>
      </x:c>
      <x:c r="E102" s="95" t="n">
        <x:f>COUNTIFS('Data &amp; Targets'!$C$6:$C$233,A102,'Data &amp; Targets'!$F$6:$F$233,C102,'Data &amp; Targets'!$J$6:$J$233,E$30,'Data &amp; Targets'!$K$6:$K$233,1)</x:f>
        <x:v>0</x:v>
      </x:c>
      <x:c r="F102" s="95" t="n">
        <x:f>COUNTIFS('Data &amp; Targets'!$C$6:$C$233,A102,'Data &amp; Targets'!$F$6:$F$233,C102,'Data &amp; Targets'!$J$6:$J$233,F$30,'Data &amp; Targets'!$K$6:$K$233,1)</x:f>
        <x:v>0</x:v>
      </x:c>
      <x:c r="G102" s="95" t="n">
        <x:f>COUNTIFS('Data &amp; Targets'!$C$6:$C$233,A102,'Data &amp; Targets'!$F$6:$F$233,C102,'Data &amp; Targets'!$J$6:$J$233,G$30,'Data &amp; Targets'!$K$6:$K$233,1)</x:f>
        <x:v>0</x:v>
      </x:c>
      <x:c r="H102" s="95" t="n">
        <x:f>COUNTIFS('Data &amp; Targets'!$C$6:$C$233,A102,'Data &amp; Targets'!$F$6:$F$233,C102,'Data &amp; Targets'!$J$6:$J$233,H$30,'Data &amp; Targets'!$K$6:$K$233,1)</x:f>
        <x:v>0</x:v>
      </x:c>
      <x:c r="I102" s="95" t="n">
        <x:f>COUNTIFS('Data &amp; Targets'!$C$6:$C$233,A102,'Data &amp; Targets'!$F$6:$F$233,C102,'Data &amp; Targets'!$J$6:$J$233,I$30,'Data &amp; Targets'!$K$6:$K$233,1)</x:f>
        <x:v>0</x:v>
      </x:c>
      <x:c r="J102" s="95" t="n">
        <x:f>COUNTIFS('Data &amp; Targets'!$C$6:$C$233,A102,'Data &amp; Targets'!$F$6:$F$233,C102,'Data &amp; Targets'!$J$6:$J$233,J$30,'Data &amp; Targets'!$K$6:$K$233,1)</x:f>
        <x:v>0</x:v>
      </x:c>
      <x:c r="K102" s="95" t="n">
        <x:f>SUM(D102:J102)</x:f>
        <x:v>3</x:v>
      </x:c>
      <x:c r="L102" s="108"/>
      <x:c r="M102" s="95" t="str">
        <x:f>IF(L102="","",K102-L102)</x:f>
      </x:c>
      <x:c r="N102" s="108"/>
    </x:row>
    <x:row r="103" ht="35" customHeight="1">
      <x:c r="A103" s="95" t="str">
        <x:v>D24</x:v>
      </x:c>
      <x:c r="B103" s="95" t="str">
        <x:v>Urology Outpatients</x:v>
      </x:c>
      <x:c r="C103" s="95" t="str">
        <x:v>Delivery</x:v>
      </x:c>
      <x:c r="D103" s="95" t="n">
        <x:f>COUNTIFS('Data &amp; Targets'!$C$6:$C$233,A103,'Data &amp; Targets'!$F$6:$F$233,C103,'Data &amp; Targets'!$J$6:$J$233,D$30,'Data &amp; Targets'!$K$6:$K$233,1)</x:f>
        <x:v>3</x:v>
      </x:c>
      <x:c r="E103" s="95" t="n">
        <x:f>COUNTIFS('Data &amp; Targets'!$C$6:$C$233,A103,'Data &amp; Targets'!$F$6:$F$233,C103,'Data &amp; Targets'!$J$6:$J$233,E$30,'Data &amp; Targets'!$K$6:$K$233,1)</x:f>
        <x:v>0</x:v>
      </x:c>
      <x:c r="F103" s="95" t="n">
        <x:f>COUNTIFS('Data &amp; Targets'!$C$6:$C$233,A103,'Data &amp; Targets'!$F$6:$F$233,C103,'Data &amp; Targets'!$J$6:$J$233,F$30,'Data &amp; Targets'!$K$6:$K$233,1)</x:f>
        <x:v>0</x:v>
      </x:c>
      <x:c r="G103" s="95" t="n">
        <x:f>COUNTIFS('Data &amp; Targets'!$C$6:$C$233,A103,'Data &amp; Targets'!$F$6:$F$233,C103,'Data &amp; Targets'!$J$6:$J$233,G$30,'Data &amp; Targets'!$K$6:$K$233,1)</x:f>
        <x:v>0</x:v>
      </x:c>
      <x:c r="H103" s="95" t="n">
        <x:f>COUNTIFS('Data &amp; Targets'!$C$6:$C$233,A103,'Data &amp; Targets'!$F$6:$F$233,C103,'Data &amp; Targets'!$J$6:$J$233,H$30,'Data &amp; Targets'!$K$6:$K$233,1)</x:f>
        <x:v>0</x:v>
      </x:c>
      <x:c r="I103" s="95" t="n">
        <x:f>COUNTIFS('Data &amp; Targets'!$C$6:$C$233,A103,'Data &amp; Targets'!$F$6:$F$233,C103,'Data &amp; Targets'!$J$6:$J$233,I$30,'Data &amp; Targets'!$K$6:$K$233,1)</x:f>
        <x:v>0</x:v>
      </x:c>
      <x:c r="J103" s="95" t="n">
        <x:f>COUNTIFS('Data &amp; Targets'!$C$6:$C$233,A103,'Data &amp; Targets'!$F$6:$F$233,C103,'Data &amp; Targets'!$J$6:$J$233,J$30,'Data &amp; Targets'!$K$6:$K$233,1)</x:f>
        <x:v>0</x:v>
      </x:c>
      <x:c r="K103" s="95" t="n">
        <x:f>SUM(D103:J103)</x:f>
        <x:v>3</x:v>
      </x:c>
      <x:c r="L103" s="108"/>
      <x:c r="M103" s="95" t="str">
        <x:f>IF(L103="","",K103-L103)</x:f>
      </x:c>
      <x:c r="N103" s="108"/>
    </x:row>
    <x:row r="104" ht="35" customHeight="1">
      <x:c r="A104" s="95" t="str">
        <x:v>D24</x:v>
      </x:c>
      <x:c r="B104" s="95" t="str">
        <x:v>Urology Outpatients</x:v>
      </x:c>
      <x:c r="C104" s="95" t="str">
        <x:v>Collection</x:v>
      </x:c>
      <x:c r="D104" s="95" t="n">
        <x:f>COUNTIFS('Data &amp; Targets'!$C$6:$C$233,A104,'Data &amp; Targets'!$F$6:$F$233,C104,'Data &amp; Targets'!$J$6:$J$233,D$30,'Data &amp; Targets'!$K$6:$K$233,1)</x:f>
        <x:v>3</x:v>
      </x:c>
      <x:c r="E104" s="95" t="n">
        <x:f>COUNTIFS('Data &amp; Targets'!$C$6:$C$233,A104,'Data &amp; Targets'!$F$6:$F$233,C104,'Data &amp; Targets'!$J$6:$J$233,E$30,'Data &amp; Targets'!$K$6:$K$233,1)</x:f>
        <x:v>0</x:v>
      </x:c>
      <x:c r="F104" s="95" t="n">
        <x:f>COUNTIFS('Data &amp; Targets'!$C$6:$C$233,A104,'Data &amp; Targets'!$F$6:$F$233,C104,'Data &amp; Targets'!$J$6:$J$233,F$30,'Data &amp; Targets'!$K$6:$K$233,1)</x:f>
        <x:v>0</x:v>
      </x:c>
      <x:c r="G104" s="95" t="n">
        <x:f>COUNTIFS('Data &amp; Targets'!$C$6:$C$233,A104,'Data &amp; Targets'!$F$6:$F$233,C104,'Data &amp; Targets'!$J$6:$J$233,G$30,'Data &amp; Targets'!$K$6:$K$233,1)</x:f>
        <x:v>0</x:v>
      </x:c>
      <x:c r="H104" s="95" t="n">
        <x:f>COUNTIFS('Data &amp; Targets'!$C$6:$C$233,A104,'Data &amp; Targets'!$F$6:$F$233,C104,'Data &amp; Targets'!$J$6:$J$233,H$30,'Data &amp; Targets'!$K$6:$K$233,1)</x:f>
        <x:v>0</x:v>
      </x:c>
      <x:c r="I104" s="95" t="n">
        <x:f>COUNTIFS('Data &amp; Targets'!$C$6:$C$233,A104,'Data &amp; Targets'!$F$6:$F$233,C104,'Data &amp; Targets'!$J$6:$J$233,I$30,'Data &amp; Targets'!$K$6:$K$233,1)</x:f>
        <x:v>0</x:v>
      </x:c>
      <x:c r="J104" s="95" t="n">
        <x:f>COUNTIFS('Data &amp; Targets'!$C$6:$C$233,A104,'Data &amp; Targets'!$F$6:$F$233,C104,'Data &amp; Targets'!$J$6:$J$233,J$30,'Data &amp; Targets'!$K$6:$K$233,1)</x:f>
        <x:v>0</x:v>
      </x:c>
      <x:c r="K104" s="95" t="n">
        <x:f>SUM(D104:J104)</x:f>
        <x:v>3</x:v>
      </x:c>
      <x:c r="L104" s="108"/>
      <x:c r="M104" s="95" t="str">
        <x:f>IF(L104="","",K104-L104)</x:f>
      </x:c>
      <x:c r="N104" s="108"/>
    </x:row>
    <x:row r="105" ht="22" customHeight="1">
      <x:c r="A105" s="103"/>
      <x:c r="B105" s="103"/>
      <x:c r="C105" s="103"/>
      <x:c r="D105" s="103"/>
      <x:c r="E105" s="103"/>
      <x:c r="F105" s="103"/>
      <x:c r="G105" s="103"/>
      <x:c r="H105" s="103"/>
      <x:c r="I105" s="103"/>
      <x:c r="J105" s="103"/>
      <x:c r="K105" s="103"/>
      <x:c r="L105" s="103"/>
      <x:c r="M105" s="103"/>
      <x:c r="N105" s="103"/>
    </x:row>
    <x:row r="106" ht="22" customHeight="1">
      <x:c r="A106" s="103"/>
      <x:c r="B106" s="103"/>
      <x:c r="C106" s="103"/>
      <x:c r="D106" s="103"/>
      <x:c r="E106" s="103"/>
      <x:c r="F106" s="103"/>
      <x:c r="G106" s="103"/>
      <x:c r="H106" s="103"/>
      <x:c r="I106" s="103"/>
      <x:c r="J106" s="103"/>
      <x:c r="K106" s="103"/>
      <x:c r="L106" s="103"/>
      <x:c r="M106" s="103"/>
      <x:c r="N106" s="103"/>
    </x:row>
    <x:row r="107" ht="22" customHeight="1">
      <x:c r="A107" s="111" t="str">
        <x:v>Counts are simulated payload tasks, not AMR visits or measured current service. Each completed task counts once. Deliveries include empty-container returns to collection departments.</x:v>
      </x:c>
      <x:c r="B107" s="111"/>
      <x:c r="C107" s="111"/>
      <x:c r="D107" s="111"/>
      <x:c r="E107" s="111"/>
      <x:c r="F107" s="111"/>
      <x:c r="G107" s="111"/>
      <x:c r="H107" s="111"/>
      <x:c r="I107" s="111"/>
      <x:c r="J107" s="111"/>
      <x:c r="K107" s="111"/>
      <x:c r="L107" s="111"/>
      <x:c r="M107" s="111"/>
      <x:c r="N107" s="111"/>
    </x:row>
    <x:row r="108" ht="22" customHeight="1">
      <x:c r="A108" s="111"/>
      <x:c r="B108" s="111"/>
      <x:c r="C108" s="111"/>
      <x:c r="D108" s="111"/>
      <x:c r="E108" s="111"/>
      <x:c r="F108" s="111"/>
      <x:c r="G108" s="111"/>
      <x:c r="H108" s="111"/>
      <x:c r="I108" s="111"/>
      <x:c r="J108" s="111"/>
      <x:c r="K108" s="111"/>
      <x:c r="L108" s="111"/>
      <x:c r="M108" s="111"/>
      <x:c r="N108" s="111"/>
    </x:row>
    <x:row r="109" ht="22" customHeight="1">
      <x:c r="A109" s="111" t="str">
        <x:v>Deliveries use the logged staff final arrival at the department where available; otherwise the AMR drop-off completion.</x:v>
      </x:c>
      <x:c r="B109" s="111"/>
      <x:c r="C109" s="111"/>
      <x:c r="D109" s="111"/>
      <x:c r="E109" s="111"/>
      <x:c r="F109" s="111"/>
      <x:c r="G109" s="111"/>
      <x:c r="H109" s="111"/>
      <x:c r="I109" s="111"/>
      <x:c r="J109" s="111"/>
      <x:c r="K109" s="111"/>
      <x:c r="L109" s="111"/>
      <x:c r="M109" s="111"/>
      <x:c r="N109" s="111"/>
    </x:row>
    <x:row r="110" ht="22" customHeight="1">
      <x:c r="A110" s="111"/>
      <x:c r="B110" s="111"/>
      <x:c r="C110" s="111"/>
      <x:c r="D110" s="111"/>
      <x:c r="E110" s="111"/>
      <x:c r="F110" s="111"/>
      <x:c r="G110" s="111"/>
      <x:c r="H110" s="111"/>
      <x:c r="I110" s="111"/>
      <x:c r="J110" s="111"/>
      <x:c r="K110" s="111"/>
      <x:c r="L110" s="111"/>
      <x:c r="M110" s="111"/>
      <x:c r="N110" s="111"/>
    </x:row>
    <x:row r="111" ht="22" customHeight="1">
      <x:c r="A111" s="111" t="str">
        <x:v>Collections use AMR pickup completion at the department or shared zone. Staff return legs and AMR accommodation trips are not counted again.</x:v>
      </x:c>
      <x:c r="B111" s="111"/>
      <x:c r="C111" s="111"/>
      <x:c r="D111" s="111"/>
      <x:c r="E111" s="111"/>
      <x:c r="F111" s="111"/>
      <x:c r="G111" s="111"/>
      <x:c r="H111" s="111"/>
      <x:c r="I111" s="111"/>
      <x:c r="J111" s="111"/>
      <x:c r="K111" s="111"/>
      <x:c r="L111" s="111"/>
      <x:c r="M111" s="111"/>
      <x:c r="N111" s="111"/>
    </x:row>
    <x:row r="112" ht="22" customHeight="1">
      <x:c r="A112" s="111"/>
      <x:c r="B112" s="111"/>
      <x:c r="C112" s="111"/>
      <x:c r="D112" s="111"/>
      <x:c r="E112" s="111"/>
      <x:c r="F112" s="111"/>
      <x:c r="G112" s="111"/>
      <x:c r="H112" s="111"/>
      <x:c r="I112" s="111"/>
      <x:c r="J112" s="111"/>
      <x:c r="K112" s="111"/>
      <x:c r="L112" s="111"/>
      <x:c r="M112" s="111"/>
      <x:c r="N112" s="111"/>
    </x:row>
    <x:row r="113" ht="22" customHeight="1">
      <x:c r="A113" s="111" t="str">
        <x:v>Only service times in the reporting interval [start, end) enter weekday totals. Late completions remain in Events; weekdays are calendar days, not shifts.</x:v>
      </x:c>
      <x:c r="B113" s="111"/>
      <x:c r="C113" s="111"/>
      <x:c r="D113" s="111"/>
      <x:c r="E113" s="111"/>
      <x:c r="F113" s="111"/>
      <x:c r="G113" s="111"/>
      <x:c r="H113" s="111"/>
      <x:c r="I113" s="111"/>
      <x:c r="J113" s="111"/>
      <x:c r="K113" s="111"/>
      <x:c r="L113" s="111"/>
      <x:c r="M113" s="111"/>
      <x:c r="N113" s="111"/>
    </x:row>
    <x:row r="114" ht="22" customHeight="1">
      <x:c r="A114" s="111"/>
      <x:c r="B114" s="111"/>
      <x:c r="C114" s="111"/>
      <x:c r="D114" s="111"/>
      <x:c r="E114" s="111"/>
      <x:c r="F114" s="111"/>
      <x:c r="G114" s="111"/>
      <x:c r="H114" s="111"/>
      <x:c r="I114" s="111"/>
      <x:c r="J114" s="111"/>
      <x:c r="K114" s="111"/>
      <x:c r="L114" s="111"/>
      <x:c r="M114" s="111"/>
      <x:c r="N114" s="111"/>
    </x:row>
    <x:row r="115" ht="22" customHeight="1">
      <x:c r="A115" s="111" t="str">
        <x:v>Timetables distinguish configuration schedule times from actual service times. Scheduled waste fill events are not collection promises.</x:v>
      </x:c>
      <x:c r="B115" s="111"/>
      <x:c r="C115" s="111"/>
      <x:c r="D115" s="111"/>
      <x:c r="E115" s="111"/>
      <x:c r="F115" s="111"/>
      <x:c r="G115" s="111"/>
      <x:c r="H115" s="111"/>
      <x:c r="I115" s="111"/>
      <x:c r="J115" s="111"/>
      <x:c r="K115" s="111"/>
      <x:c r="L115" s="111"/>
      <x:c r="M115" s="111"/>
      <x:c r="N115" s="111"/>
    </x:row>
    <x:row r="116" ht="22" customHeight="1">
      <x:c r="A116" s="111"/>
      <x:c r="B116" s="111"/>
      <x:c r="C116" s="111"/>
      <x:c r="D116" s="111"/>
      <x:c r="E116" s="111"/>
      <x:c r="F116" s="111"/>
      <x:c r="G116" s="111"/>
      <x:c r="H116" s="111"/>
      <x:c r="I116" s="111"/>
      <x:c r="J116" s="111"/>
      <x:c r="K116" s="111"/>
      <x:c r="L116" s="111"/>
      <x:c r="M116" s="111"/>
      <x:c r="N116" s="111"/>
    </x:row>
    <x:row r="117" ht="22" customHeight="1">
      <x:c r="A117" s="111" t="str">
        <x:v>The configuration is a supplied snapshot; the event log does not prove it was the configuration used for this run. Actual counts always come from the log.</x:v>
      </x:c>
      <x:c r="B117" s="111"/>
      <x:c r="C117" s="111"/>
      <x:c r="D117" s="111"/>
      <x:c r="E117" s="111"/>
      <x:c r="F117" s="111"/>
      <x:c r="G117" s="111"/>
      <x:c r="H117" s="111"/>
      <x:c r="I117" s="111"/>
      <x:c r="J117" s="111"/>
      <x:c r="K117" s="111"/>
      <x:c r="L117" s="111"/>
      <x:c r="M117" s="111"/>
      <x:c r="N117" s="111"/>
    </x:row>
    <x:row r="118" ht="22" customHeight="1">
      <x:c r="A118" s="111"/>
      <x:c r="B118" s="111"/>
      <x:c r="C118" s="111"/>
      <x:c r="D118" s="111"/>
      <x:c r="E118" s="111"/>
      <x:c r="F118" s="111"/>
      <x:c r="G118" s="111"/>
      <x:c r="H118" s="111"/>
      <x:c r="I118" s="111"/>
      <x:c r="J118" s="111"/>
      <x:c r="K118" s="111"/>
      <x:c r="L118" s="111"/>
      <x:c r="M118" s="111"/>
      <x:c r="N118" s="111"/>
    </x:row>
    <x:row r="119" ht="22" customHeight="1">
      <x:c r="A119" s="111" t="str">
        <x:v>Current-service comparison cells are blank for the category owner to complete. Unclassified movements are retained for review, excluded from delivery/collection totals.</x:v>
      </x:c>
      <x:c r="B119" s="111"/>
      <x:c r="C119" s="111"/>
      <x:c r="D119" s="111"/>
      <x:c r="E119" s="111"/>
      <x:c r="F119" s="111"/>
      <x:c r="G119" s="111"/>
      <x:c r="H119" s="111"/>
      <x:c r="I119" s="111"/>
      <x:c r="J119" s="111"/>
      <x:c r="K119" s="111"/>
      <x:c r="L119" s="111"/>
      <x:c r="M119" s="111"/>
      <x:c r="N119" s="111"/>
    </x:row>
    <x:row r="120" ht="22" customHeight="1">
      <x:c r="A120" s="111"/>
      <x:c r="B120" s="111"/>
      <x:c r="C120" s="111"/>
      <x:c r="D120" s="111"/>
      <x:c r="E120" s="111"/>
      <x:c r="F120" s="111"/>
      <x:c r="G120" s="111"/>
      <x:c r="H120" s="111"/>
      <x:c r="I120" s="111"/>
      <x:c r="J120" s="111"/>
      <x:c r="K120" s="111"/>
      <x:c r="L120" s="111"/>
      <x:c r="M120" s="111"/>
      <x:c r="N120" s="111"/>
    </x:row>
    <x:row r="121" ht="22" customHeight="1">
      <x:c r="A121" s="111" t="str">
        <x:v>Source CSV: C:\Users\tombe\Documents\AMR_Simulator\ltn_full_20260910.csv</x:v>
      </x:c>
      <x:c r="B121" s="111"/>
      <x:c r="C121" s="111"/>
      <x:c r="D121" s="111"/>
      <x:c r="E121" s="111"/>
      <x:c r="F121" s="111"/>
      <x:c r="G121" s="111"/>
      <x:c r="H121" s="111"/>
      <x:c r="I121" s="111"/>
      <x:c r="J121" s="111"/>
      <x:c r="K121" s="111"/>
      <x:c r="L121" s="111"/>
      <x:c r="M121" s="111"/>
      <x:c r="N121" s="111"/>
    </x:row>
    <x:row r="122" ht="22" customHeight="1">
      <x:c r="A122" s="111"/>
      <x:c r="B122" s="111"/>
      <x:c r="C122" s="111"/>
      <x:c r="D122" s="111"/>
      <x:c r="E122" s="111"/>
      <x:c r="F122" s="111"/>
      <x:c r="G122" s="111"/>
      <x:c r="H122" s="111"/>
      <x:c r="I122" s="111"/>
      <x:c r="J122" s="111"/>
      <x:c r="K122" s="111"/>
      <x:c r="L122" s="111"/>
      <x:c r="M122" s="111"/>
      <x:c r="N122" s="111"/>
    </x:row>
    <x:row r="123" ht="22" customHeight="1">
      <x:c r="A123" s="111" t="str">
        <x:v>Configuration: C:\Users\tombe\Documents\AMR_Simulator\ltn.json</x:v>
      </x:c>
      <x:c r="B123" s="111"/>
      <x:c r="C123" s="111"/>
      <x:c r="D123" s="111"/>
      <x:c r="E123" s="111"/>
      <x:c r="F123" s="111"/>
      <x:c r="G123" s="111"/>
      <x:c r="H123" s="111"/>
      <x:c r="I123" s="111"/>
      <x:c r="J123" s="111"/>
      <x:c r="K123" s="111"/>
      <x:c r="L123" s="111"/>
      <x:c r="M123" s="111"/>
      <x:c r="N123" s="111"/>
    </x:row>
    <x:row r="124" ht="22" customHeight="1">
      <x:c r="A124" s="111"/>
      <x:c r="B124" s="111"/>
      <x:c r="C124" s="111"/>
      <x:c r="D124" s="111"/>
      <x:c r="E124" s="111"/>
      <x:c r="F124" s="111"/>
      <x:c r="G124" s="111"/>
      <x:c r="H124" s="111"/>
      <x:c r="I124" s="111"/>
      <x:c r="J124" s="111"/>
      <x:c r="K124" s="111"/>
      <x:c r="L124" s="111"/>
      <x:c r="M124" s="111"/>
      <x:c r="N124" s="111"/>
    </x:row>
    <x:row r="125" ht="22" customHeight="1">
      <x:c r="A125" s="111" t="str">
        <x:v>Configuration SHA-256: 05a8afff0634c327b84e85cdea2d9d87aa2f7f398daf313c60c388aa3dcd681a</x:v>
      </x:c>
      <x:c r="B125" s="111"/>
      <x:c r="C125" s="111"/>
      <x:c r="D125" s="111"/>
      <x:c r="E125" s="111"/>
      <x:c r="F125" s="111"/>
      <x:c r="G125" s="111"/>
      <x:c r="H125" s="111"/>
      <x:c r="I125" s="111"/>
      <x:c r="J125" s="111"/>
      <x:c r="K125" s="111"/>
      <x:c r="L125" s="111"/>
      <x:c r="M125" s="111"/>
      <x:c r="N125" s="111"/>
    </x:row>
    <x:row r="126" ht="22" customHeight="1">
      <x:c r="A126" s="111"/>
      <x:c r="B126" s="111"/>
      <x:c r="C126" s="111"/>
      <x:c r="D126" s="111"/>
      <x:c r="E126" s="111"/>
      <x:c r="F126" s="111"/>
      <x:c r="G126" s="111"/>
      <x:c r="H126" s="111"/>
      <x:c r="I126" s="111"/>
      <x:c r="J126" s="111"/>
      <x:c r="K126" s="111"/>
      <x:c r="L126" s="111"/>
      <x:c r="M126" s="111"/>
      <x:c r="N126" s="111"/>
    </x:row>
  </x:sheetData>
  <x:mergeCells>
    <x:mergeCell ref="A2:N2"/>
    <x:mergeCell ref="A3:N3"/>
    <x:mergeCell ref="A4:N4"/>
    <x:mergeCell ref="A6:C6"/>
    <x:mergeCell ref="A7:C8"/>
    <x:mergeCell ref="D6:F6"/>
    <x:mergeCell ref="D7:F8"/>
    <x:mergeCell ref="G6:J6"/>
    <x:mergeCell ref="G7:J8"/>
    <x:mergeCell ref="K6:N6"/>
    <x:mergeCell ref="K7:N8"/>
    <x:mergeCell ref="A26:N27"/>
    <x:mergeCell ref="A107:N108"/>
    <x:mergeCell ref="A109:N110"/>
    <x:mergeCell ref="A111:N112"/>
    <x:mergeCell ref="A113:N114"/>
    <x:mergeCell ref="A115:N116"/>
    <x:mergeCell ref="A117:N118"/>
    <x:mergeCell ref="A119:N120"/>
    <x:mergeCell ref="A121:N122"/>
    <x:mergeCell ref="A123:N124"/>
    <x:mergeCell ref="A125:N126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fdf2f97e82c74024"/>
  <x:tableParts count="1">
    <x:tablePart xmlns:r="http://schemas.openxmlformats.org/officeDocument/2006/relationships" r:id="Rc8eba0633781450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3" style="27" hidden="0" customWidth="1"/>
    <x:col min="2" max="4" width="15" style="27" customWidth="1"/>
    <x:col min="5" max="5" width="9" style="27" hidden="0" customWidth="1"/>
    <x:col min="6" max="6" width="15" style="27" hidden="0" customWidth="1"/>
    <x:col min="7" max="8" width="15" style="27" customWidth="1"/>
    <x:col min="9" max="9" width="24" style="27" hidden="0" customWidth="1"/>
    <x:col min="10" max="10" width="12" style="27" hidden="0" customWidth="1"/>
    <x:col min="11" max="11" width="12" style="27" hidden="0" customWidth="1"/>
    <x:col min="12" max="15" width="16" style="27" customWidth="1"/>
    <x:col min="16" max="16" width="30" style="27" hidden="0" customWidth="1"/>
    <x:col min="17" max="16384" width="8.83203125" style="27" customWidth="0"/>
    <x:col min="2" max="2" width="40" hidden="0" customWidth="1"/>
    <x:col min="3" max="3" width="15" hidden="0" customWidth="1"/>
    <x:col min="4" max="4" width="32" hidden="0" customWidth="1"/>
    <x:col min="7" max="7" width="22" hidden="0" customWidth="1"/>
    <x:col min="8" max="8" width="24" hidden="0" customWidth="1"/>
    <x:col min="12" max="12" width="20" hidden="0" customWidth="1"/>
    <x:col min="13" max="13" width="24" hidden="0" customWidth="1"/>
    <x:col min="14" max="14" width="30" hidden="0" customWidth="1"/>
    <x:col min="15" max="15" width="30" hidden="0" customWidth="1"/>
    <x:col min="17" max="17" width="32" hidden="0" customWidth="1"/>
    <x:col min="18" max="18" width="24" hidden="0" customWidth="1"/>
    <x:col min="19" max="19" width="80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</x:row>
    <x:row r="2" ht="26" customHeight="1">
      <x:c r="A2" s="90" t="str">
        <x:v>Stores | Event detail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</x:row>
    <x:row r="3" ht="23" customHeight="1">
      <x:c r="A3" s="91" t="str">
        <x:v>One row per generated task. In period = 1 means service completed within the reporting interval. Return tasks include empty-container deliveries. Filter Status and Service to review exceptions.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</x:row>
    <x:row r="5" ht="32" customHeight="1">
      <x:c r="A5" s="97" t="str">
        <x:v>Task ID</x:v>
      </x:c>
      <x:c r="B5" s="97" t="str">
        <x:v>Parent task</x:v>
      </x:c>
      <x:c r="C5" s="97" t="str">
        <x:v>Department ID</x:v>
      </x:c>
      <x:c r="D5" s="97" t="str">
        <x:v>Department</x:v>
      </x:c>
      <x:c r="E5" s="97" t="str">
        <x:v>Level</x:v>
      </x:c>
      <x:c r="F5" s="97" t="str">
        <x:v>Service</x:v>
      </x:c>
      <x:c r="G5" s="97" t="str">
        <x:v>Trigger</x:v>
      </x:c>
      <x:c r="H5" s="97" t="str">
        <x:v>Generated</x:v>
      </x:c>
      <x:c r="I5" s="97" t="str">
        <x:v>Actual service time</x:v>
      </x:c>
      <x:c r="J5" s="97" t="str">
        <x:v>Weekday</x:v>
      </x:c>
      <x:c r="K5" s="97" t="str">
        <x:v>In period</x:v>
      </x:c>
      <x:c r="L5" s="97" t="str">
        <x:v>Status</x:v>
      </x:c>
      <x:c r="M5" s="97" t="str">
        <x:v>Payload</x:v>
      </x:c>
      <x:c r="N5" s="97" t="str">
        <x:v>AMR origin</x:v>
      </x:c>
      <x:c r="O5" s="97" t="str">
        <x:v>AMR destination</x:v>
      </x:c>
      <x:c r="P5" s="97" t="str">
        <x:v>Final destination</x:v>
      </x:c>
      <x:c r="Q5" s="97" t="str">
        <x:v>Service time basis</x:v>
      </x:c>
      <x:c r="R5" s="97" t="str">
        <x:v>AMR handover</x:v>
      </x:c>
      <x:c r="S5" s="97" t="str">
        <x:v>Generation detail</x:v>
      </x:c>
    </x:row>
    <x:row r="6" ht="42" customHeight="1">
      <x:c r="A6" s="95" t="str">
        <x:v>GEN_STORES_D10_01670</x:v>
      </x:c>
      <x:c r="B6" s="95" t="str"/>
      <x:c r="C6" s="95" t="str">
        <x:v>D10</x:v>
      </x:c>
      <x:c r="D6" s="95" t="str">
        <x:v>Minor Injuries</x:v>
      </x:c>
      <x:c r="E6" s="95" t="str">
        <x:v>L00</x:v>
      </x:c>
      <x:c r="F6" s="95" t="str">
        <x:v>Delivery</x:v>
      </x:c>
      <x:c r="G6" s="95" t="str">
        <x:v>timeframe</x:v>
      </x:c>
      <x:c r="H6" s="98" t="n">
        <x:v>46029.25</x:v>
      </x:c>
      <x:c r="I6" s="98" t="n">
        <x:v>46029.25377314815</x:v>
      </x:c>
      <x:c r="J6" s="95" t="str">
        <x:v>Wed</x:v>
      </x:c>
      <x:c r="K6" s="95" t="n">
        <x:v>1</x:v>
      </x:c>
      <x:c r="L6" s="95" t="str">
        <x:v>Completed</x:v>
      </x:c>
      <x:c r="M6" s="95" t="str">
        <x:v>Goods Cage</x:v>
      </x:c>
      <x:c r="N6" s="95" t="str">
        <x:v>D49-STORES</x:v>
      </x:c>
      <x:c r="O6" s="95" t="str">
        <x:v>D3-DROP-ZONE</x:v>
      </x:c>
      <x:c r="P6" s="95" t="str">
        <x:v>D10-STORES</x:v>
      </x:c>
      <x:c r="Q6" s="95" t="str">
        <x:v>Staff final delivery arrival</x:v>
      </x:c>
      <x:c r="R6" s="98" t="n">
        <x:v>46029.25314814815</x:v>
      </x:c>
      <x:c r="S6" s="95" t="str">
        <x:v>Generated timeframe stores task 1/3; spaced across staff hours 06:00-16:00; due by 16:00; AMR drop-off zone=D3-DROP-ZONE; final destination=D10-STORES</x:v>
      </x:c>
    </x:row>
    <x:row r="7" ht="42" customHeight="1">
      <x:c r="A7" s="95" t="str">
        <x:v>GEN_STORES_D10_01671</x:v>
      </x:c>
      <x:c r="B7" s="95" t="str"/>
      <x:c r="C7" s="95" t="str">
        <x:v>D10</x:v>
      </x:c>
      <x:c r="D7" s="95" t="str">
        <x:v>Minor Injuries</x:v>
      </x:c>
      <x:c r="E7" s="95" t="str">
        <x:v>L00</x:v>
      </x:c>
      <x:c r="F7" s="95" t="str">
        <x:v>Delivery</x:v>
      </x:c>
      <x:c r="G7" s="95" t="str">
        <x:v>timeframe</x:v>
      </x:c>
      <x:c r="H7" s="98" t="n">
        <x:v>46029.273148148146</x:v>
      </x:c>
      <x:c r="I7" s="98" t="n">
        <x:v>46029.284479166665</x:v>
      </x:c>
      <x:c r="J7" s="95" t="str">
        <x:v>Wed</x:v>
      </x:c>
      <x:c r="K7" s="95" t="n">
        <x:v>1</x:v>
      </x:c>
      <x:c r="L7" s="95" t="str">
        <x:v>Completed</x:v>
      </x:c>
      <x:c r="M7" s="95" t="str">
        <x:v>Goods Cage</x:v>
      </x:c>
      <x:c r="N7" s="95" t="str">
        <x:v>D49-STORES</x:v>
      </x:c>
      <x:c r="O7" s="95" t="str">
        <x:v>D3-DROP-ZONE</x:v>
      </x:c>
      <x:c r="P7" s="95" t="str">
        <x:v>D10-STORES</x:v>
      </x:c>
      <x:c r="Q7" s="95" t="str">
        <x:v>Staff final delivery arrival</x:v>
      </x:c>
      <x:c r="R7" s="98" t="n">
        <x:v>46029.28386574074</x:v>
      </x:c>
      <x:c r="S7" s="95" t="str">
        <x:v>Generated timeframe stores task 2/3; spaced across staff hours 06:00-16:00; due by 16:00; AMR drop-off zone=D3-DROP-ZONE; final destination=D10-STORES</x:v>
      </x:c>
    </x:row>
    <x:row r="8" ht="42" customHeight="1">
      <x:c r="A8" s="95" t="str">
        <x:v>GEN_STORES_D10_01672</x:v>
      </x:c>
      <x:c r="B8" s="95" t="str"/>
      <x:c r="C8" s="95" t="str">
        <x:v>D10</x:v>
      </x:c>
      <x:c r="D8" s="95" t="str">
        <x:v>Minor Injuries</x:v>
      </x:c>
      <x:c r="E8" s="95" t="str">
        <x:v>L00</x:v>
      </x:c>
      <x:c r="F8" s="95" t="str">
        <x:v>Delivery</x:v>
      </x:c>
      <x:c r="G8" s="95" t="str">
        <x:v>timeframe</x:v>
      </x:c>
      <x:c r="H8" s="98" t="n">
        <x:v>46029.2962962963</x:v>
      </x:c>
      <x:c r="I8" s="98" t="n">
        <x:v>46029.3053125</x:v>
      </x:c>
      <x:c r="J8" s="95" t="str">
        <x:v>Wed</x:v>
      </x:c>
      <x:c r="K8" s="95" t="n">
        <x:v>1</x:v>
      </x:c>
      <x:c r="L8" s="95" t="str">
        <x:v>Completed</x:v>
      </x:c>
      <x:c r="M8" s="95" t="str">
        <x:v>Goods Cage</x:v>
      </x:c>
      <x:c r="N8" s="95" t="str">
        <x:v>D49-STORES</x:v>
      </x:c>
      <x:c r="O8" s="95" t="str">
        <x:v>D3-DROP-ZONE</x:v>
      </x:c>
      <x:c r="P8" s="95" t="str">
        <x:v>D10-STORES</x:v>
      </x:c>
      <x:c r="Q8" s="95" t="str">
        <x:v>Staff final delivery arrival</x:v>
      </x:c>
      <x:c r="R8" s="98" t="n">
        <x:v>46029.30469907408</x:v>
      </x:c>
      <x:c r="S8" s="95" t="str">
        <x:v>Generated timeframe stores task 3/3; spaced across staff hours 06:00-16:00; due by 16:00; AMR drop-off zone=D3-DROP-ZONE; final destination=D10-STORES</x:v>
      </x:c>
    </x:row>
    <x:row r="9" ht="42" customHeight="1">
      <x:c r="A9" s="95" t="str">
        <x:v>GEN_STORES_D11_01308</x:v>
      </x:c>
      <x:c r="B9" s="95" t="str"/>
      <x:c r="C9" s="95" t="str">
        <x:v>D11</x:v>
      </x:c>
      <x:c r="D9" s="95" t="str">
        <x:v>ED-Resus</x:v>
      </x:c>
      <x:c r="E9" s="95" t="str">
        <x:v>L00</x:v>
      </x:c>
      <x:c r="F9" s="95" t="str">
        <x:v>Delivery</x:v>
      </x:c>
      <x:c r="G9" s="95" t="str">
        <x:v>timeframe</x:v>
      </x:c>
      <x:c r="H9" s="98" t="n">
        <x:v>46028.25</x:v>
      </x:c>
      <x:c r="I9" s="98" t="n">
        <x:v>46028.253530092596</x:v>
      </x:c>
      <x:c r="J9" s="95" t="str">
        <x:v>Tue</x:v>
      </x:c>
      <x:c r="K9" s="95" t="n">
        <x:v>1</x:v>
      </x:c>
      <x:c r="L9" s="95" t="str">
        <x:v>Completed</x:v>
      </x:c>
      <x:c r="M9" s="95" t="str">
        <x:v>Goods Cage</x:v>
      </x:c>
      <x:c r="N9" s="95" t="str">
        <x:v>D49-STORES</x:v>
      </x:c>
      <x:c r="O9" s="95" t="str">
        <x:v>D3-DROP-ZONE</x:v>
      </x:c>
      <x:c r="P9" s="95" t="str">
        <x:v>D11-STORES</x:v>
      </x:c>
      <x:c r="Q9" s="95" t="str">
        <x:v>Staff final delivery arrival</x:v>
      </x:c>
      <x:c r="R9" s="98" t="n">
        <x:v>46028.25261574074</x:v>
      </x:c>
      <x:c r="S9" s="95" t="str">
        <x:v>Generated timeframe stores task 1/3; spaced across staff hours 06:00-16:00; due by 16:00; AMR drop-off zone=D3-DROP-ZONE; final destination=D11-STORES</x:v>
      </x:c>
    </x:row>
    <x:row r="10" ht="42" customHeight="1">
      <x:c r="A10" s="95" t="str">
        <x:v>GEN_STORES_D11_01309</x:v>
      </x:c>
      <x:c r="B10" s="95" t="str"/>
      <x:c r="C10" s="95" t="str">
        <x:v>D11</x:v>
      </x:c>
      <x:c r="D10" s="95" t="str">
        <x:v>ED-Resus</x:v>
      </x:c>
      <x:c r="E10" s="95" t="str">
        <x:v>L00</x:v>
      </x:c>
      <x:c r="F10" s="95" t="str">
        <x:v>Delivery</x:v>
      </x:c>
      <x:c r="G10" s="95" t="str">
        <x:v>timeframe</x:v>
      </x:c>
      <x:c r="H10" s="98" t="n">
        <x:v>46028.26388888889</x:v>
      </x:c>
      <x:c r="I10" s="98" t="n">
        <x:v>46028.27413194445</x:v>
      </x:c>
      <x:c r="J10" s="95" t="str">
        <x:v>Tue</x:v>
      </x:c>
      <x:c r="K10" s="95" t="n">
        <x:v>1</x:v>
      </x:c>
      <x:c r="L10" s="95" t="str">
        <x:v>Completed</x:v>
      </x:c>
      <x:c r="M10" s="95" t="str">
        <x:v>Goods Cage</x:v>
      </x:c>
      <x:c r="N10" s="95" t="str">
        <x:v>D49-STORES</x:v>
      </x:c>
      <x:c r="O10" s="95" t="str">
        <x:v>D3-DROP-ZONE</x:v>
      </x:c>
      <x:c r="P10" s="95" t="str">
        <x:v>D11-STORES</x:v>
      </x:c>
      <x:c r="Q10" s="95" t="str">
        <x:v>Staff final delivery arrival</x:v>
      </x:c>
      <x:c r="R10" s="98" t="n">
        <x:v>46028.273206018515</x:v>
      </x:c>
      <x:c r="S10" s="95" t="str">
        <x:v>Generated timeframe stores task 2/3; spaced across staff hours 06:00-16:00; due by 16:00; AMR drop-off zone=D3-DROP-ZONE; final destination=D11-STORES</x:v>
      </x:c>
    </x:row>
    <x:row r="11" ht="42" customHeight="1">
      <x:c r="A11" s="95" t="str">
        <x:v>GEN_STORES_D11_01310</x:v>
      </x:c>
      <x:c r="B11" s="95" t="str"/>
      <x:c r="C11" s="95" t="str">
        <x:v>D11</x:v>
      </x:c>
      <x:c r="D11" s="95" t="str">
        <x:v>ED-Resus</x:v>
      </x:c>
      <x:c r="E11" s="95" t="str">
        <x:v>L00</x:v>
      </x:c>
      <x:c r="F11" s="95" t="str">
        <x:v>Delivery</x:v>
      </x:c>
      <x:c r="G11" s="95" t="str">
        <x:v>timeframe</x:v>
      </x:c>
      <x:c r="H11" s="98" t="n">
        <x:v>46028.27777777778</x:v>
      </x:c>
      <x:c r="I11" s="98" t="n">
        <x:v>46028.284780092596</x:v>
      </x:c>
      <x:c r="J11" s="95" t="str">
        <x:v>Tue</x:v>
      </x:c>
      <x:c r="K11" s="95" t="n">
        <x:v>1</x:v>
      </x:c>
      <x:c r="L11" s="95" t="str">
        <x:v>Completed</x:v>
      </x:c>
      <x:c r="M11" s="95" t="str">
        <x:v>Goods Cage</x:v>
      </x:c>
      <x:c r="N11" s="95" t="str">
        <x:v>D49-STORES</x:v>
      </x:c>
      <x:c r="O11" s="95" t="str">
        <x:v>D3-DROP-ZONE</x:v>
      </x:c>
      <x:c r="P11" s="95" t="str">
        <x:v>D11-STORES</x:v>
      </x:c>
      <x:c r="Q11" s="95" t="str">
        <x:v>Staff final delivery arrival</x:v>
      </x:c>
      <x:c r="R11" s="98" t="n">
        <x:v>46028.28386574074</x:v>
      </x:c>
      <x:c r="S11" s="95" t="str">
        <x:v>Generated timeframe stores task 3/3; spaced across staff hours 06:00-16:00; due by 16:00; AMR drop-off zone=D3-DROP-ZONE; final destination=D11-STORES</x:v>
      </x:c>
    </x:row>
    <x:row r="12" ht="42" customHeight="1">
      <x:c r="A12" s="95" t="str">
        <x:v>GEN_STORES_D12_00272</x:v>
      </x:c>
      <x:c r="B12" s="95" t="str"/>
      <x:c r="C12" s="95" t="str">
        <x:v>D12</x:v>
      </x:c>
      <x:c r="D12" s="95" t="str">
        <x:v>ED-Majors</x:v>
      </x:c>
      <x:c r="E12" s="95" t="str">
        <x:v>L00</x:v>
      </x:c>
      <x:c r="F12" s="95" t="str">
        <x:v>Delivery</x:v>
      </x:c>
      <x:c r="G12" s="95" t="str">
        <x:v>timeframe</x:v>
      </x:c>
      <x:c r="H12" s="98" t="n">
        <x:v>46024.25</x:v>
      </x:c>
      <x:c r="I12" s="98" t="n">
        <x:v>46024.253599537034</x:v>
      </x:c>
      <x:c r="J12" s="95" t="str">
        <x:v>Fri</x:v>
      </x:c>
      <x:c r="K12" s="95" t="n">
        <x:v>1</x:v>
      </x:c>
      <x:c r="L12" s="95" t="str">
        <x:v>Completed</x:v>
      </x:c>
      <x:c r="M12" s="95" t="str">
        <x:v>Goods Cage</x:v>
      </x:c>
      <x:c r="N12" s="95" t="str">
        <x:v>D49-STORES</x:v>
      </x:c>
      <x:c r="O12" s="95" t="str">
        <x:v>D3-DROP-ZONE</x:v>
      </x:c>
      <x:c r="P12" s="95" t="str">
        <x:v>D12-STORES</x:v>
      </x:c>
      <x:c r="Q12" s="95" t="str">
        <x:v>Staff final delivery arrival</x:v>
      </x:c>
      <x:c r="R12" s="98" t="n">
        <x:v>46024.25255787037</x:v>
      </x:c>
      <x:c r="S12" s="95" t="str">
        <x:v>Generated timeframe stores task 1/3; spaced across staff hours 06:00-16:00; due by 16:00; AMR drop-off zone=D3-DROP-ZONE; final destination=D12-STORES</x:v>
      </x:c>
    </x:row>
    <x:row r="13" ht="42" customHeight="1">
      <x:c r="A13" s="95" t="str">
        <x:v>GEN_STORES_D12_00273</x:v>
      </x:c>
      <x:c r="B13" s="95" t="str"/>
      <x:c r="C13" s="95" t="str">
        <x:v>D12</x:v>
      </x:c>
      <x:c r="D13" s="95" t="str">
        <x:v>ED-Majors</x:v>
      </x:c>
      <x:c r="E13" s="95" t="str">
        <x:v>L00</x:v>
      </x:c>
      <x:c r="F13" s="95" t="str">
        <x:v>Delivery</x:v>
      </x:c>
      <x:c r="G13" s="95" t="str">
        <x:v>timeframe</x:v>
      </x:c>
      <x:c r="H13" s="98" t="n">
        <x:v>46024.269837962966</x:v>
      </x:c>
      <x:c r="I13" s="98" t="n">
        <x:v>46024.27443287037</x:v>
      </x:c>
      <x:c r="J13" s="95" t="str">
        <x:v>Fri</x:v>
      </x:c>
      <x:c r="K13" s="95" t="n">
        <x:v>1</x:v>
      </x:c>
      <x:c r="L13" s="95" t="str">
        <x:v>Completed</x:v>
      </x:c>
      <x:c r="M13" s="95" t="str">
        <x:v>Goods Cage</x:v>
      </x:c>
      <x:c r="N13" s="95" t="str">
        <x:v>D49-STORES</x:v>
      </x:c>
      <x:c r="O13" s="95" t="str">
        <x:v>D3-DROP-ZONE</x:v>
      </x:c>
      <x:c r="P13" s="95" t="str">
        <x:v>D12-STORES</x:v>
      </x:c>
      <x:c r="Q13" s="95" t="str">
        <x:v>Staff final delivery arrival</x:v>
      </x:c>
      <x:c r="R13" s="98" t="n">
        <x:v>46024.2733912037</x:v>
      </x:c>
      <x:c r="S13" s="95" t="str">
        <x:v>Generated timeframe stores task 2/3; spaced across staff hours 06:00-16:00; due by 16:00; AMR drop-off zone=D3-DROP-ZONE; final destination=D12-STORES</x:v>
      </x:c>
    </x:row>
    <x:row r="14" ht="42" customHeight="1">
      <x:c r="A14" s="95" t="str">
        <x:v>GEN_STORES_D12_00274</x:v>
      </x:c>
      <x:c r="B14" s="95" t="str"/>
      <x:c r="C14" s="95" t="str">
        <x:v>D12</x:v>
      </x:c>
      <x:c r="D14" s="95" t="str">
        <x:v>ED-Majors</x:v>
      </x:c>
      <x:c r="E14" s="95" t="str">
        <x:v>L00</x:v>
      </x:c>
      <x:c r="F14" s="95" t="str">
        <x:v>Delivery</x:v>
      </x:c>
      <x:c r="G14" s="95" t="str">
        <x:v>timeframe</x:v>
      </x:c>
      <x:c r="H14" s="98" t="n">
        <x:v>46024.289675925924</x:v>
      </x:c>
      <x:c r="I14" s="98" t="n">
        <x:v>46024.295266203706</x:v>
      </x:c>
      <x:c r="J14" s="95" t="str">
        <x:v>Fri</x:v>
      </x:c>
      <x:c r="K14" s="95" t="n">
        <x:v>1</x:v>
      </x:c>
      <x:c r="L14" s="95" t="str">
        <x:v>Completed</x:v>
      </x:c>
      <x:c r="M14" s="95" t="str">
        <x:v>Goods Cage</x:v>
      </x:c>
      <x:c r="N14" s="95" t="str">
        <x:v>D49-STORES</x:v>
      </x:c>
      <x:c r="O14" s="95" t="str">
        <x:v>D3-DROP-ZONE</x:v>
      </x:c>
      <x:c r="P14" s="95" t="str">
        <x:v>D12-STORES</x:v>
      </x:c>
      <x:c r="Q14" s="95" t="str">
        <x:v>Staff final delivery arrival</x:v>
      </x:c>
      <x:c r="R14" s="98" t="n">
        <x:v>46024.294224537036</x:v>
      </x:c>
      <x:c r="S14" s="95" t="str">
        <x:v>Generated timeframe stores task 3/3; spaced across staff hours 06:00-16:00; due by 16:00; AMR drop-off zone=D3-DROP-ZONE; final destination=D12-STORES</x:v>
      </x:c>
    </x:row>
    <x:row r="15" ht="42" customHeight="1">
      <x:c r="A15" s="95" t="str">
        <x:v>GEN_STORES_D12_01675</x:v>
      </x:c>
      <x:c r="B15" s="95" t="str"/>
      <x:c r="C15" s="95" t="str">
        <x:v>D12</x:v>
      </x:c>
      <x:c r="D15" s="95" t="str">
        <x:v>ED-Majors</x:v>
      </x:c>
      <x:c r="E15" s="95" t="str">
        <x:v>L00</x:v>
      </x:c>
      <x:c r="F15" s="95" t="str">
        <x:v>Delivery</x:v>
      </x:c>
      <x:c r="G15" s="95" t="str">
        <x:v>timeframe</x:v>
      </x:c>
      <x:c r="H15" s="98" t="n">
        <x:v>46029.319444444445</x:v>
      </x:c>
      <x:c r="I15" s="98" t="n">
        <x:v>46029.3266087963</x:v>
      </x:c>
      <x:c r="J15" s="95" t="str">
        <x:v>Wed</x:v>
      </x:c>
      <x:c r="K15" s="95" t="n">
        <x:v>1</x:v>
      </x:c>
      <x:c r="L15" s="95" t="str">
        <x:v>Completed</x:v>
      </x:c>
      <x:c r="M15" s="95" t="str">
        <x:v>Goods Cage</x:v>
      </x:c>
      <x:c r="N15" s="95" t="str">
        <x:v>D49-STORES</x:v>
      </x:c>
      <x:c r="O15" s="95" t="str">
        <x:v>D3-DROP-ZONE</x:v>
      </x:c>
      <x:c r="P15" s="95" t="str">
        <x:v>D12-STORES</x:v>
      </x:c>
      <x:c r="Q15" s="95" t="str">
        <x:v>Staff final delivery arrival</x:v>
      </x:c>
      <x:c r="R15" s="98" t="n">
        <x:v>46029.32555555556</x:v>
      </x:c>
      <x:c r="S15" s="95" t="str">
        <x:v>Generated timeframe stores task 1/3; spaced across staff hours 06:00-16:00; due by 16:00; AMR drop-off zone=D3-DROP-ZONE; final destination=D12-STORES</x:v>
      </x:c>
    </x:row>
    <x:row r="16" ht="42" customHeight="1">
      <x:c r="A16" s="95" t="str">
        <x:v>GEN_STORES_D12_01695</x:v>
      </x:c>
      <x:c r="B16" s="95" t="str"/>
      <x:c r="C16" s="95" t="str">
        <x:v>D12</x:v>
      </x:c>
      <x:c r="D16" s="95" t="str">
        <x:v>ED-Majors</x:v>
      </x:c>
      <x:c r="E16" s="95" t="str">
        <x:v>L00</x:v>
      </x:c>
      <x:c r="F16" s="95" t="str">
        <x:v>Delivery</x:v>
      </x:c>
      <x:c r="G16" s="95" t="str">
        <x:v>timeframe</x:v>
      </x:c>
      <x:c r="H16" s="98" t="n">
        <x:v>46029.34259259259</x:v>
      </x:c>
      <x:c r="I16" s="98" t="n">
        <x:v>46029.34909722222</x:v>
      </x:c>
      <x:c r="J16" s="95" t="str">
        <x:v>Wed</x:v>
      </x:c>
      <x:c r="K16" s="95" t="n">
        <x:v>1</x:v>
      </x:c>
      <x:c r="L16" s="95" t="str">
        <x:v>Completed</x:v>
      </x:c>
      <x:c r="M16" s="95" t="str">
        <x:v>Goods Cage</x:v>
      </x:c>
      <x:c r="N16" s="95" t="str">
        <x:v>D49-STORES</x:v>
      </x:c>
      <x:c r="O16" s="95" t="str">
        <x:v>D3-DROP-ZONE</x:v>
      </x:c>
      <x:c r="P16" s="95" t="str">
        <x:v>D12-STORES</x:v>
      </x:c>
      <x:c r="Q16" s="95" t="str">
        <x:v>Staff final delivery arrival</x:v>
      </x:c>
      <x:c r="R16" s="98" t="n">
        <x:v>46029.34804398148</x:v>
      </x:c>
      <x:c r="S16" s="95" t="str">
        <x:v>Generated timeframe stores task 2/3; spaced across staff hours 06:00-16:00; due by 16:00; AMR drop-off zone=D3-DROP-ZONE; final destination=D12-STORES</x:v>
      </x:c>
    </x:row>
    <x:row r="17" ht="42" customHeight="1">
      <x:c r="A17" s="95" t="str">
        <x:v>GEN_STORES_D12_01795</x:v>
      </x:c>
      <x:c r="B17" s="95" t="str"/>
      <x:c r="C17" s="95" t="str">
        <x:v>D12</x:v>
      </x:c>
      <x:c r="D17" s="95" t="str">
        <x:v>ED-Majors</x:v>
      </x:c>
      <x:c r="E17" s="95" t="str">
        <x:v>L00</x:v>
      </x:c>
      <x:c r="F17" s="95" t="str">
        <x:v>Delivery</x:v>
      </x:c>
      <x:c r="G17" s="95" t="str">
        <x:v>timeframe</x:v>
      </x:c>
      <x:c r="H17" s="98" t="n">
        <x:v>46029.36574074074</x:v>
      </x:c>
      <x:c r="I17" s="98" t="n">
        <x:v>46029.3784375</x:v>
      </x:c>
      <x:c r="J17" s="95" t="str">
        <x:v>Wed</x:v>
      </x:c>
      <x:c r="K17" s="95" t="n">
        <x:v>1</x:v>
      </x:c>
      <x:c r="L17" s="95" t="str">
        <x:v>Completed</x:v>
      </x:c>
      <x:c r="M17" s="95" t="str">
        <x:v>Goods Cage</x:v>
      </x:c>
      <x:c r="N17" s="95" t="str">
        <x:v>D49-STORES</x:v>
      </x:c>
      <x:c r="O17" s="95" t="str">
        <x:v>D3-DROP-ZONE</x:v>
      </x:c>
      <x:c r="P17" s="95" t="str">
        <x:v>D12-STORES</x:v>
      </x:c>
      <x:c r="Q17" s="95" t="str">
        <x:v>Staff final delivery arrival</x:v>
      </x:c>
      <x:c r="R17" s="98" t="n">
        <x:v>46029.377384259256</x:v>
      </x:c>
      <x:c r="S17" s="95" t="str">
        <x:v>Generated timeframe stores task 3/3; spaced across staff hours 06:00-16:00; due by 16:00; AMR drop-off zone=D3-DROP-ZONE; final destination=D12-STORES</x:v>
      </x:c>
    </x:row>
    <x:row r="18" ht="42" customHeight="1">
      <x:c r="A18" s="95" t="str">
        <x:v>GEN_STORES_D13_01311</x:v>
      </x:c>
      <x:c r="B18" s="95" t="str"/>
      <x:c r="C18" s="95" t="str">
        <x:v>D13</x:v>
      </x:c>
      <x:c r="D18" s="95" t="str">
        <x:v>ED-Paediatrics</x:v>
      </x:c>
      <x:c r="E18" s="95" t="str">
        <x:v>L00</x:v>
      </x:c>
      <x:c r="F18" s="95" t="str">
        <x:v>Delivery</x:v>
      </x:c>
      <x:c r="G18" s="95" t="str">
        <x:v>timeframe</x:v>
      </x:c>
      <x:c r="H18" s="98" t="n">
        <x:v>46028.291666666664</x:v>
      </x:c>
      <x:c r="I18" s="98" t="n">
        <x:v>46028.294490740744</x:v>
      </x:c>
      <x:c r="J18" s="95" t="str">
        <x:v>Tue</x:v>
      </x:c>
      <x:c r="K18" s="95" t="n">
        <x:v>1</x:v>
      </x:c>
      <x:c r="L18" s="95" t="str">
        <x:v>Completed</x:v>
      </x:c>
      <x:c r="M18" s="95" t="str">
        <x:v>Goods Cage</x:v>
      </x:c>
      <x:c r="N18" s="95" t="str">
        <x:v>D49-STORES</x:v>
      </x:c>
      <x:c r="O18" s="95" t="str">
        <x:v>D3-DROP-ZONE</x:v>
      </x:c>
      <x:c r="P18" s="95" t="str">
        <x:v>D13-STORES</x:v>
      </x:c>
      <x:c r="Q18" s="95" t="str">
        <x:v>Staff final delivery arrival</x:v>
      </x:c>
      <x:c r="R18" s="98" t="n">
        <x:v>46028.29403935185</x:v>
      </x:c>
      <x:c r="S18" s="95" t="str">
        <x:v>Generated timeframe stores task 1/3; spaced across staff hours 06:00-16:00; due by 16:00; AMR drop-off zone=D3-DROP-ZONE; final destination=D13-STORES</x:v>
      </x:c>
    </x:row>
    <x:row r="19" ht="42" customHeight="1">
      <x:c r="A19" s="95" t="str">
        <x:v>GEN_STORES_D13_01319</x:v>
      </x:c>
      <x:c r="B19" s="95" t="str"/>
      <x:c r="C19" s="95" t="str">
        <x:v>D13</x:v>
      </x:c>
      <x:c r="D19" s="95" t="str">
        <x:v>ED-Paediatrics</x:v>
      </x:c>
      <x:c r="E19" s="95" t="str">
        <x:v>L00</x:v>
      </x:c>
      <x:c r="F19" s="95" t="str">
        <x:v>Delivery</x:v>
      </x:c>
      <x:c r="G19" s="95" t="str">
        <x:v>timeframe</x:v>
      </x:c>
      <x:c r="H19" s="98" t="n">
        <x:v>46028.305555555555</x:v>
      </x:c>
      <x:c r="I19" s="98" t="n">
        <x:v>46028.31532407407</x:v>
      </x:c>
      <x:c r="J19" s="95" t="str">
        <x:v>Tue</x:v>
      </x:c>
      <x:c r="K19" s="95" t="n">
        <x:v>1</x:v>
      </x:c>
      <x:c r="L19" s="95" t="str">
        <x:v>Completed</x:v>
      </x:c>
      <x:c r="M19" s="95" t="str">
        <x:v>Goods Cage</x:v>
      </x:c>
      <x:c r="N19" s="95" t="str">
        <x:v>D49-STORES</x:v>
      </x:c>
      <x:c r="O19" s="95" t="str">
        <x:v>D3-DROP-ZONE</x:v>
      </x:c>
      <x:c r="P19" s="95" t="str">
        <x:v>D13-STORES</x:v>
      </x:c>
      <x:c r="Q19" s="95" t="str">
        <x:v>Staff final delivery arrival</x:v>
      </x:c>
      <x:c r="R19" s="98" t="n">
        <x:v>46028.31487268519</x:v>
      </x:c>
      <x:c r="S19" s="95" t="str">
        <x:v>Generated timeframe stores task 2/3; spaced across staff hours 06:00-16:00; due by 16:00; AMR drop-off zone=D3-DROP-ZONE; final destination=D13-STORES</x:v>
      </x:c>
    </x:row>
    <x:row r="20" ht="42" customHeight="1">
      <x:c r="A20" s="95" t="str">
        <x:v>GEN_STORES_D13_01321</x:v>
      </x:c>
      <x:c r="B20" s="95" t="str"/>
      <x:c r="C20" s="95" t="str">
        <x:v>D13</x:v>
      </x:c>
      <x:c r="D20" s="95" t="str">
        <x:v>ED-Paediatrics</x:v>
      </x:c>
      <x:c r="E20" s="95" t="str">
        <x:v>L00</x:v>
      </x:c>
      <x:c r="F20" s="95" t="str">
        <x:v>Delivery</x:v>
      </x:c>
      <x:c r="G20" s="95" t="str">
        <x:v>timeframe</x:v>
      </x:c>
      <x:c r="H20" s="98" t="n">
        <x:v>46028.319444444445</x:v>
      </x:c>
      <x:c r="I20" s="98" t="n">
        <x:v>46028.32575231481</x:v>
      </x:c>
      <x:c r="J20" s="95" t="str">
        <x:v>Tue</x:v>
      </x:c>
      <x:c r="K20" s="95" t="n">
        <x:v>1</x:v>
      </x:c>
      <x:c r="L20" s="95" t="str">
        <x:v>Completed</x:v>
      </x:c>
      <x:c r="M20" s="95" t="str">
        <x:v>Goods Cage</x:v>
      </x:c>
      <x:c r="N20" s="95" t="str">
        <x:v>D49-STORES</x:v>
      </x:c>
      <x:c r="O20" s="95" t="str">
        <x:v>D3-DROP-ZONE</x:v>
      </x:c>
      <x:c r="P20" s="95" t="str">
        <x:v>D13-STORES</x:v>
      </x:c>
      <x:c r="Q20" s="95" t="str">
        <x:v>Staff final delivery arrival</x:v>
      </x:c>
      <x:c r="R20" s="98" t="n">
        <x:v>46028.32530092593</x:v>
      </x:c>
      <x:c r="S20" s="95" t="str">
        <x:v>Generated timeframe stores task 3/3; spaced across staff hours 06:00-16:00; due by 16:00; AMR drop-off zone=D3-DROP-ZONE; final destination=D13-STORES</x:v>
      </x:c>
    </x:row>
    <x:row r="21" ht="42" customHeight="1">
      <x:c r="A21" s="95" t="str">
        <x:v>GEN_STORES_D14_00974</x:v>
      </x:c>
      <x:c r="B21" s="95" t="str"/>
      <x:c r="C21" s="95" t="str">
        <x:v>D14</x:v>
      </x:c>
      <x:c r="D21" s="95" t="str">
        <x:v>ED-Imaging</x:v>
      </x:c>
      <x:c r="E21" s="95" t="str">
        <x:v>L00</x:v>
      </x:c>
      <x:c r="F21" s="95" t="str">
        <x:v>Delivery</x:v>
      </x:c>
      <x:c r="G21" s="95" t="str">
        <x:v>timeframe</x:v>
      </x:c>
      <x:c r="H21" s="98" t="n">
        <x:v>46027.25</x:v>
      </x:c>
      <x:c r="I21" s="98" t="n">
        <x:v>46027.25305555556</x:v>
      </x:c>
      <x:c r="J21" s="95" t="str">
        <x:v>Mon</x:v>
      </x:c>
      <x:c r="K21" s="95" t="n">
        <x:v>1</x:v>
      </x:c>
      <x:c r="L21" s="95" t="str">
        <x:v>Completed</x:v>
      </x:c>
      <x:c r="M21" s="95" t="str">
        <x:v>Goods Cage</x:v>
      </x:c>
      <x:c r="N21" s="95" t="str">
        <x:v>D49-STORES</x:v>
      </x:c>
      <x:c r="O21" s="95" t="str">
        <x:v>D3-DROP-ZONE</x:v>
      </x:c>
      <x:c r="P21" s="95" t="str">
        <x:v>D12-STORES_2</x:v>
      </x:c>
      <x:c r="Q21" s="95" t="str">
        <x:v>Staff final delivery arrival</x:v>
      </x:c>
      <x:c r="R21" s="98" t="n">
        <x:v>46027.25261574074</x:v>
      </x:c>
      <x:c r="S21" s="95" t="str">
        <x:v>Generated timeframe stores task 1/3; spaced across staff hours 06:00-16:00; due by 16:00; AMR drop-off zone=D3-DROP-ZONE; final destination=D12-STORES_2</x:v>
      </x:c>
    </x:row>
    <x:row r="22" ht="42" customHeight="1">
      <x:c r="A22" s="95" t="str">
        <x:v>GEN_STORES_D14_00975</x:v>
      </x:c>
      <x:c r="B22" s="95" t="str"/>
      <x:c r="C22" s="95" t="str">
        <x:v>D14</x:v>
      </x:c>
      <x:c r="D22" s="95" t="str">
        <x:v>ED-Imaging</x:v>
      </x:c>
      <x:c r="E22" s="95" t="str">
        <x:v>L00</x:v>
      </x:c>
      <x:c r="F22" s="95" t="str">
        <x:v>Delivery</x:v>
      </x:c>
      <x:c r="G22" s="95" t="str">
        <x:v>timeframe</x:v>
      </x:c>
      <x:c r="H22" s="98" t="n">
        <x:v>46027.26261574074</x:v>
      </x:c>
      <x:c r="I22" s="98" t="n">
        <x:v>46027.273888888885</x:v>
      </x:c>
      <x:c r="J22" s="95" t="str">
        <x:v>Mon</x:v>
      </x:c>
      <x:c r="K22" s="95" t="n">
        <x:v>1</x:v>
      </x:c>
      <x:c r="L22" s="95" t="str">
        <x:v>Completed</x:v>
      </x:c>
      <x:c r="M22" s="95" t="str">
        <x:v>Goods Cage</x:v>
      </x:c>
      <x:c r="N22" s="95" t="str">
        <x:v>D49-STORES</x:v>
      </x:c>
      <x:c r="O22" s="95" t="str">
        <x:v>D3-DROP-ZONE</x:v>
      </x:c>
      <x:c r="P22" s="95" t="str">
        <x:v>D12-STORES_2</x:v>
      </x:c>
      <x:c r="Q22" s="95" t="str">
        <x:v>Staff final delivery arrival</x:v>
      </x:c>
      <x:c r="R22" s="98" t="n">
        <x:v>46027.27344907408</x:v>
      </x:c>
      <x:c r="S22" s="95" t="str">
        <x:v>Generated timeframe stores task 2/3; spaced across staff hours 06:00-16:00; due by 16:00; AMR drop-off zone=D3-DROP-ZONE; final destination=D12-STORES_2</x:v>
      </x:c>
    </x:row>
    <x:row r="23" ht="42" customHeight="1">
      <x:c r="A23" s="95" t="str">
        <x:v>GEN_STORES_D14_00976</x:v>
      </x:c>
      <x:c r="B23" s="95" t="str"/>
      <x:c r="C23" s="95" t="str">
        <x:v>D14</x:v>
      </x:c>
      <x:c r="D23" s="95" t="str">
        <x:v>ED-Imaging</x:v>
      </x:c>
      <x:c r="E23" s="95" t="str">
        <x:v>L00</x:v>
      </x:c>
      <x:c r="F23" s="95" t="str">
        <x:v>Delivery</x:v>
      </x:c>
      <x:c r="G23" s="95" t="str">
        <x:v>timeframe</x:v>
      </x:c>
      <x:c r="H23" s="98" t="n">
        <x:v>46027.275243055556</x:v>
      </x:c>
      <x:c r="I23" s="98" t="n">
        <x:v>46027.28439814815</x:v>
      </x:c>
      <x:c r="J23" s="95" t="str">
        <x:v>Mon</x:v>
      </x:c>
      <x:c r="K23" s="95" t="n">
        <x:v>1</x:v>
      </x:c>
      <x:c r="L23" s="95" t="str">
        <x:v>Completed</x:v>
      </x:c>
      <x:c r="M23" s="95" t="str">
        <x:v>Goods Cage</x:v>
      </x:c>
      <x:c r="N23" s="95" t="str">
        <x:v>D49-STORES</x:v>
      </x:c>
      <x:c r="O23" s="95" t="str">
        <x:v>D3-DROP-ZONE</x:v>
      </x:c>
      <x:c r="P23" s="95" t="str">
        <x:v>D12-STORES_2</x:v>
      </x:c>
      <x:c r="Q23" s="95" t="str">
        <x:v>Staff final delivery arrival</x:v>
      </x:c>
      <x:c r="R23" s="98" t="n">
        <x:v>46027.28395833333</x:v>
      </x:c>
      <x:c r="S23" s="95" t="str">
        <x:v>Generated timeframe stores task 3/3; spaced across staff hours 06:00-16:00; due by 16:00; AMR drop-off zone=D3-DROP-ZONE; final destination=D12-STORES_2</x:v>
      </x:c>
    </x:row>
    <x:row r="24" ht="42" customHeight="1">
      <x:c r="A24" s="95" t="str">
        <x:v>GEN_STORES_D16_01000</x:v>
      </x:c>
      <x:c r="B24" s="95" t="str"/>
      <x:c r="C24" s="95" t="str">
        <x:v>D16</x:v>
      </x:c>
      <x:c r="D24" s="95" t="str">
        <x:v>Ante-natal</x:v>
      </x:c>
      <x:c r="E24" s="95" t="str">
        <x:v>L01</x:v>
      </x:c>
      <x:c r="F24" s="95" t="str">
        <x:v>Delivery</x:v>
      </x:c>
      <x:c r="G24" s="95" t="str">
        <x:v>timeframe</x:v>
      </x:c>
      <x:c r="H24" s="98" t="n">
        <x:v>46027.32575231481</x:v>
      </x:c>
      <x:c r="I24" s="98" t="n">
        <x:v>46027.336006944446</x:v>
      </x:c>
      <x:c r="J24" s="95" t="str">
        <x:v>Mon</x:v>
      </x:c>
      <x:c r="K24" s="95" t="n">
        <x:v>1</x:v>
      </x:c>
      <x:c r="L24" s="95" t="str">
        <x:v>Completed</x:v>
      </x:c>
      <x:c r="M24" s="95" t="str">
        <x:v>Goods Cage</x:v>
      </x:c>
      <x:c r="N24" s="95" t="str">
        <x:v>D49-STORES</x:v>
      </x:c>
      <x:c r="O24" s="95" t="str">
        <x:v>D19-STORES</x:v>
      </x:c>
      <x:c r="P24" s="95" t="str">
        <x:v>D19-STORES</x:v>
      </x:c>
      <x:c r="Q24" s="95" t="str">
        <x:v>AMR drop-off completed</x:v>
      </x:c>
      <x:c r="R24" s="98" t="n">
        <x:v>46027.336006944446</x:v>
      </x:c>
      <x:c r="S24" s="95" t="str">
        <x:v>Generated timeframe stores task 1/3; spaced across staff hours 07:00-16:00; due by 16:00</x:v>
      </x:c>
    </x:row>
    <x:row r="25" ht="42" customHeight="1">
      <x:c r="A25" s="95" t="str">
        <x:v>GEN_STORES_D16_01003</x:v>
      </x:c>
      <x:c r="B25" s="95" t="str"/>
      <x:c r="C25" s="95" t="str">
        <x:v>D16</x:v>
      </x:c>
      <x:c r="D25" s="95" t="str">
        <x:v>Ante-natal</x:v>
      </x:c>
      <x:c r="E25" s="95" t="str">
        <x:v>L01</x:v>
      </x:c>
      <x:c r="F25" s="95" t="str">
        <x:v>Delivery</x:v>
      </x:c>
      <x:c r="G25" s="95" t="str">
        <x:v>timeframe</x:v>
      </x:c>
      <x:c r="H25" s="98" t="n">
        <x:v>46027.337118055555</x:v>
      </x:c>
      <x:c r="I25" s="98" t="n">
        <x:v>46027.34643518519</x:v>
      </x:c>
      <x:c r="J25" s="95" t="str">
        <x:v>Mon</x:v>
      </x:c>
      <x:c r="K25" s="95" t="n">
        <x:v>1</x:v>
      </x:c>
      <x:c r="L25" s="95" t="str">
        <x:v>Completed</x:v>
      </x:c>
      <x:c r="M25" s="95" t="str">
        <x:v>Goods Cage</x:v>
      </x:c>
      <x:c r="N25" s="95" t="str">
        <x:v>D49-STORES</x:v>
      </x:c>
      <x:c r="O25" s="95" t="str">
        <x:v>D19-STORES</x:v>
      </x:c>
      <x:c r="P25" s="95" t="str">
        <x:v>D19-STORES</x:v>
      </x:c>
      <x:c r="Q25" s="95" t="str">
        <x:v>AMR drop-off completed</x:v>
      </x:c>
      <x:c r="R25" s="98" t="n">
        <x:v>46027.34643518519</x:v>
      </x:c>
      <x:c r="S25" s="95" t="str">
        <x:v>Generated timeframe stores task 2/3; spaced across staff hours 07:00-16:00; due by 16:00</x:v>
      </x:c>
    </x:row>
    <x:row r="26" ht="42" customHeight="1">
      <x:c r="A26" s="95" t="str">
        <x:v>GEN_STORES_D16_01004</x:v>
      </x:c>
      <x:c r="B26" s="95" t="str"/>
      <x:c r="C26" s="95" t="str">
        <x:v>D16</x:v>
      </x:c>
      <x:c r="D26" s="95" t="str">
        <x:v>Ante-natal</x:v>
      </x:c>
      <x:c r="E26" s="95" t="str">
        <x:v>L01</x:v>
      </x:c>
      <x:c r="F26" s="95" t="str">
        <x:v>Delivery</x:v>
      </x:c>
      <x:c r="G26" s="95" t="str">
        <x:v>timeframe</x:v>
      </x:c>
      <x:c r="H26" s="98" t="n">
        <x:v>46027.3484837963</x:v>
      </x:c>
      <x:c r="I26" s="98" t="n">
        <x:v>46027.356840277775</x:v>
      </x:c>
      <x:c r="J26" s="95" t="str">
        <x:v>Mon</x:v>
      </x:c>
      <x:c r="K26" s="95" t="n">
        <x:v>1</x:v>
      </x:c>
      <x:c r="L26" s="95" t="str">
        <x:v>Completed</x:v>
      </x:c>
      <x:c r="M26" s="95" t="str">
        <x:v>Goods Cage</x:v>
      </x:c>
      <x:c r="N26" s="95" t="str">
        <x:v>D49-STORES</x:v>
      </x:c>
      <x:c r="O26" s="95" t="str">
        <x:v>D19-STORES</x:v>
      </x:c>
      <x:c r="P26" s="95" t="str">
        <x:v>D19-STORES</x:v>
      </x:c>
      <x:c r="Q26" s="95" t="str">
        <x:v>AMR drop-off completed</x:v>
      </x:c>
      <x:c r="R26" s="98" t="n">
        <x:v>46027.356840277775</x:v>
      </x:c>
      <x:c r="S26" s="95" t="str">
        <x:v>Generated timeframe stores task 3/3; spaced across staff hours 07:00-16:00; due by 16:00</x:v>
      </x:c>
    </x:row>
    <x:row r="27" ht="42" customHeight="1">
      <x:c r="A27" s="95" t="str">
        <x:v>GEN_STORES_D17_01444</x:v>
      </x:c>
      <x:c r="B27" s="95" t="str"/>
      <x:c r="C27" s="95" t="str">
        <x:v>D17</x:v>
      </x:c>
      <x:c r="D27" s="95" t="str">
        <x:v>Ambulatory Care</x:v>
      </x:c>
      <x:c r="E27" s="95" t="str">
        <x:v>L01</x:v>
      </x:c>
      <x:c r="F27" s="95" t="str">
        <x:v>Delivery</x:v>
      </x:c>
      <x:c r="G27" s="95" t="str">
        <x:v>timeframe</x:v>
      </x:c>
      <x:c r="H27" s="98" t="n">
        <x:v>46028.36666666667</x:v>
      </x:c>
      <x:c r="I27" s="98" t="n">
        <x:v>46028.37793981482</x:v>
      </x:c>
      <x:c r="J27" s="95" t="str">
        <x:v>Tue</x:v>
      </x:c>
      <x:c r="K27" s="95" t="n">
        <x:v>1</x:v>
      </x:c>
      <x:c r="L27" s="95" t="str">
        <x:v>Completed</x:v>
      </x:c>
      <x:c r="M27" s="95" t="str">
        <x:v>Goods Cage</x:v>
      </x:c>
      <x:c r="N27" s="95" t="str">
        <x:v>D49-STORES</x:v>
      </x:c>
      <x:c r="O27" s="95" t="str">
        <x:v>D19-STORES</x:v>
      </x:c>
      <x:c r="P27" s="95" t="str">
        <x:v>D19-STORES</x:v>
      </x:c>
      <x:c r="Q27" s="95" t="str">
        <x:v>AMR drop-off completed</x:v>
      </x:c>
      <x:c r="R27" s="98" t="n">
        <x:v>46028.37793981482</x:v>
      </x:c>
      <x:c r="S27" s="95" t="str">
        <x:v>Generated timeframe stores task 1/3; spaced across staff hours 07:00-16:00; due by 16:00</x:v>
      </x:c>
    </x:row>
    <x:row r="28" ht="42" customHeight="1">
      <x:c r="A28" s="95" t="str">
        <x:v>GEN_STORES_D17_01446</x:v>
      </x:c>
      <x:c r="B28" s="95" t="str"/>
      <x:c r="C28" s="95" t="str">
        <x:v>D17</x:v>
      </x:c>
      <x:c r="D28" s="95" t="str">
        <x:v>Ambulatory Care</x:v>
      </x:c>
      <x:c r="E28" s="95" t="str">
        <x:v>L01</x:v>
      </x:c>
      <x:c r="F28" s="95" t="str">
        <x:v>Delivery</x:v>
      </x:c>
      <x:c r="G28" s="95" t="str">
        <x:v>timeframe</x:v>
      </x:c>
      <x:c r="H28" s="98" t="n">
        <x:v>46028.379166666666</x:v>
      </x:c>
      <x:c r="I28" s="98" t="n">
        <x:v>46028.388344907406</x:v>
      </x:c>
      <x:c r="J28" s="95" t="str">
        <x:v>Tue</x:v>
      </x:c>
      <x:c r="K28" s="95" t="n">
        <x:v>1</x:v>
      </x:c>
      <x:c r="L28" s="95" t="str">
        <x:v>Completed</x:v>
      </x:c>
      <x:c r="M28" s="95" t="str">
        <x:v>Goods Cage</x:v>
      </x:c>
      <x:c r="N28" s="95" t="str">
        <x:v>D49-STORES</x:v>
      </x:c>
      <x:c r="O28" s="95" t="str">
        <x:v>D19-STORES</x:v>
      </x:c>
      <x:c r="P28" s="95" t="str">
        <x:v>D19-STORES</x:v>
      </x:c>
      <x:c r="Q28" s="95" t="str">
        <x:v>AMR drop-off completed</x:v>
      </x:c>
      <x:c r="R28" s="98" t="n">
        <x:v>46028.388344907406</x:v>
      </x:c>
      <x:c r="S28" s="95" t="str">
        <x:v>Generated timeframe stores task 2/3; spaced across staff hours 07:00-16:00; due by 16:00</x:v>
      </x:c>
    </x:row>
    <x:row r="29" ht="42" customHeight="1">
      <x:c r="A29" s="95" t="str">
        <x:v>GEN_STORES_D17_01447</x:v>
      </x:c>
      <x:c r="B29" s="95" t="str"/>
      <x:c r="C29" s="95" t="str">
        <x:v>D17</x:v>
      </x:c>
      <x:c r="D29" s="95" t="str">
        <x:v>Ambulatory Care</x:v>
      </x:c>
      <x:c r="E29" s="95" t="str">
        <x:v>L01</x:v>
      </x:c>
      <x:c r="F29" s="95" t="str">
        <x:v>Delivery</x:v>
      </x:c>
      <x:c r="G29" s="95" t="str">
        <x:v>timeframe</x:v>
      </x:c>
      <x:c r="H29" s="98" t="n">
        <x:v>46028.39166666667</x:v>
      </x:c>
      <x:c r="I29" s="98" t="n">
        <x:v>46028.40049768519</x:v>
      </x:c>
      <x:c r="J29" s="95" t="str">
        <x:v>Tue</x:v>
      </x:c>
      <x:c r="K29" s="95" t="n">
        <x:v>1</x:v>
      </x:c>
      <x:c r="L29" s="95" t="str">
        <x:v>Completed</x:v>
      </x:c>
      <x:c r="M29" s="95" t="str">
        <x:v>Goods Cage</x:v>
      </x:c>
      <x:c r="N29" s="95" t="str">
        <x:v>D49-STORES</x:v>
      </x:c>
      <x:c r="O29" s="95" t="str">
        <x:v>D19-STORES</x:v>
      </x:c>
      <x:c r="P29" s="95" t="str">
        <x:v>D19-STORES</x:v>
      </x:c>
      <x:c r="Q29" s="95" t="str">
        <x:v>AMR drop-off completed</x:v>
      </x:c>
      <x:c r="R29" s="98" t="n">
        <x:v>46028.40049768519</x:v>
      </x:c>
      <x:c r="S29" s="95" t="str">
        <x:v>Generated timeframe stores task 3/3; spaced across staff hours 07:00-16:00; due by 16:00</x:v>
      </x:c>
    </x:row>
    <x:row r="30" ht="42" customHeight="1">
      <x:c r="A30" s="95" t="str">
        <x:v>GEN_STORES_D18_00001</x:v>
      </x:c>
      <x:c r="B30" s="95" t="str"/>
      <x:c r="C30" s="95" t="str">
        <x:v>D18</x:v>
      </x:c>
      <x:c r="D30" s="95" t="str">
        <x:v>Neonatal</x:v>
      </x:c>
      <x:c r="E30" s="95" t="str">
        <x:v>L01</x:v>
      </x:c>
      <x:c r="F30" s="95" t="str">
        <x:v>Delivery</x:v>
      </x:c>
      <x:c r="G30" s="95" t="str">
        <x:v>timeframe</x:v>
      </x:c>
      <x:c r="H30" s="98" t="n">
        <x:v>46023.25</x:v>
      </x:c>
      <x:c r="I30" s="98" t="n">
        <x:v>46023.252962962964</x:v>
      </x:c>
      <x:c r="J30" s="95" t="str">
        <x:v>Thu</x:v>
      </x:c>
      <x:c r="K30" s="95" t="n">
        <x:v>1</x:v>
      </x:c>
      <x:c r="L30" s="95" t="str">
        <x:v>Completed</x:v>
      </x:c>
      <x:c r="M30" s="95" t="str">
        <x:v>Goods Cage</x:v>
      </x:c>
      <x:c r="N30" s="95" t="str">
        <x:v>D49-STORES</x:v>
      </x:c>
      <x:c r="O30" s="95" t="str">
        <x:v>D19-STORES</x:v>
      </x:c>
      <x:c r="P30" s="95" t="str">
        <x:v>D19-STORES</x:v>
      </x:c>
      <x:c r="Q30" s="95" t="str">
        <x:v>AMR drop-off completed</x:v>
      </x:c>
      <x:c r="R30" s="98" t="n">
        <x:v>46023.252962962964</x:v>
      </x:c>
      <x:c r="S30" s="95" t="str">
        <x:v>Generated timeframe stores task 1/3; spaced across staff hours 06:00-16:00; due by 16:00</x:v>
      </x:c>
    </x:row>
    <x:row r="31" ht="42" customHeight="1">
      <x:c r="A31" s="95" t="str">
        <x:v>GEN_STORES_D18_00002</x:v>
      </x:c>
      <x:c r="B31" s="95" t="str"/>
      <x:c r="C31" s="95" t="str">
        <x:v>D18</x:v>
      </x:c>
      <x:c r="D31" s="95" t="str">
        <x:v>Neonatal</x:v>
      </x:c>
      <x:c r="E31" s="95" t="str">
        <x:v>L01</x:v>
      </x:c>
      <x:c r="F31" s="95" t="str">
        <x:v>Delivery</x:v>
      </x:c>
      <x:c r="G31" s="95" t="str">
        <x:v>timeframe</x:v>
      </x:c>
      <x:c r="H31" s="98" t="n">
        <x:v>46023.28472222222</x:v>
      </x:c>
      <x:c r="I31" s="98" t="n">
        <x:v>46023.29447916667</x:v>
      </x:c>
      <x:c r="J31" s="95" t="str">
        <x:v>Thu</x:v>
      </x:c>
      <x:c r="K31" s="95" t="n">
        <x:v>1</x:v>
      </x:c>
      <x:c r="L31" s="95" t="str">
        <x:v>Completed</x:v>
      </x:c>
      <x:c r="M31" s="95" t="str">
        <x:v>Goods Cage</x:v>
      </x:c>
      <x:c r="N31" s="95" t="str">
        <x:v>D49-STORES</x:v>
      </x:c>
      <x:c r="O31" s="95" t="str">
        <x:v>D19-STORES</x:v>
      </x:c>
      <x:c r="P31" s="95" t="str">
        <x:v>D19-STORES</x:v>
      </x:c>
      <x:c r="Q31" s="95" t="str">
        <x:v>AMR drop-off completed</x:v>
      </x:c>
      <x:c r="R31" s="98" t="n">
        <x:v>46023.29447916667</x:v>
      </x:c>
      <x:c r="S31" s="95" t="str">
        <x:v>Generated timeframe stores task 2/3; spaced across staff hours 06:00-16:00; due by 16:00</x:v>
      </x:c>
    </x:row>
    <x:row r="32" ht="42" customHeight="1">
      <x:c r="A32" s="95" t="str">
        <x:v>GEN_STORES_D18_00003</x:v>
      </x:c>
      <x:c r="B32" s="95" t="str"/>
      <x:c r="C32" s="95" t="str">
        <x:v>D18</x:v>
      </x:c>
      <x:c r="D32" s="95" t="str">
        <x:v>Neonatal</x:v>
      </x:c>
      <x:c r="E32" s="95" t="str">
        <x:v>L01</x:v>
      </x:c>
      <x:c r="F32" s="95" t="str">
        <x:v>Delivery</x:v>
      </x:c>
      <x:c r="G32" s="95" t="str">
        <x:v>timeframe</x:v>
      </x:c>
      <x:c r="H32" s="98" t="n">
        <x:v>46023.319444444445</x:v>
      </x:c>
      <x:c r="I32" s="98" t="n">
        <x:v>46023.32576388889</x:v>
      </x:c>
      <x:c r="J32" s="95" t="str">
        <x:v>Thu</x:v>
      </x:c>
      <x:c r="K32" s="95" t="n">
        <x:v>1</x:v>
      </x:c>
      <x:c r="L32" s="95" t="str">
        <x:v>Completed</x:v>
      </x:c>
      <x:c r="M32" s="95" t="str">
        <x:v>Goods Cage</x:v>
      </x:c>
      <x:c r="N32" s="95" t="str">
        <x:v>D49-STORES</x:v>
      </x:c>
      <x:c r="O32" s="95" t="str">
        <x:v>D19-STORES</x:v>
      </x:c>
      <x:c r="P32" s="95" t="str">
        <x:v>D19-STORES</x:v>
      </x:c>
      <x:c r="Q32" s="95" t="str">
        <x:v>AMR drop-off completed</x:v>
      </x:c>
      <x:c r="R32" s="98" t="n">
        <x:v>46023.32576388889</x:v>
      </x:c>
      <x:c r="S32" s="95" t="str">
        <x:v>Generated timeframe stores task 3/3; spaced across staff hours 06:00-16:00; due by 16:00</x:v>
      </x:c>
    </x:row>
    <x:row r="33" ht="42" customHeight="1">
      <x:c r="A33" s="95" t="str">
        <x:v>GEN_STORES_D19_01796</x:v>
      </x:c>
      <x:c r="B33" s="95" t="str"/>
      <x:c r="C33" s="95" t="str">
        <x:v>D19</x:v>
      </x:c>
      <x:c r="D33" s="95" t="str">
        <x:v>Birthing Suite</x:v>
      </x:c>
      <x:c r="E33" s="95" t="str">
        <x:v>L01</x:v>
      </x:c>
      <x:c r="F33" s="95" t="str">
        <x:v>Delivery</x:v>
      </x:c>
      <x:c r="G33" s="95" t="str">
        <x:v>timeframe</x:v>
      </x:c>
      <x:c r="H33" s="98" t="n">
        <x:v>46029.38888888889</x:v>
      </x:c>
      <x:c r="I33" s="98" t="n">
        <x:v>46029.398506944446</x:v>
      </x:c>
      <x:c r="J33" s="95" t="str">
        <x:v>Wed</x:v>
      </x:c>
      <x:c r="K33" s="95" t="n">
        <x:v>1</x:v>
      </x:c>
      <x:c r="L33" s="95" t="str">
        <x:v>Completed</x:v>
      </x:c>
      <x:c r="M33" s="95" t="str">
        <x:v>Goods Cage</x:v>
      </x:c>
      <x:c r="N33" s="95" t="str">
        <x:v>D49-STORES</x:v>
      </x:c>
      <x:c r="O33" s="95" t="str">
        <x:v>D19-STORES</x:v>
      </x:c>
      <x:c r="P33" s="95" t="str">
        <x:v>D19-STORES</x:v>
      </x:c>
      <x:c r="Q33" s="95" t="str">
        <x:v>AMR drop-off completed</x:v>
      </x:c>
      <x:c r="R33" s="98" t="n">
        <x:v>46029.398506944446</x:v>
      </x:c>
      <x:c r="S33" s="95" t="str">
        <x:v>Generated timeframe stores task 1/3; spaced across staff hours 06:00-16:00; due by 16:00</x:v>
      </x:c>
    </x:row>
    <x:row r="34" ht="42" customHeight="1">
      <x:c r="A34" s="95" t="str">
        <x:v>GEN_STORES_D19_01827</x:v>
      </x:c>
      <x:c r="B34" s="95" t="str"/>
      <x:c r="C34" s="95" t="str">
        <x:v>D19</x:v>
      </x:c>
      <x:c r="D34" s="95" t="str">
        <x:v>Birthing Suite</x:v>
      </x:c>
      <x:c r="E34" s="95" t="str">
        <x:v>L01</x:v>
      </x:c>
      <x:c r="F34" s="95" t="str">
        <x:v>Delivery</x:v>
      </x:c>
      <x:c r="G34" s="95" t="str">
        <x:v>timeframe</x:v>
      </x:c>
      <x:c r="H34" s="98" t="n">
        <x:v>46029.41203703704</x:v>
      </x:c>
      <x:c r="I34" s="98" t="n">
        <x:v>46029.41956018518</x:v>
      </x:c>
      <x:c r="J34" s="95" t="str">
        <x:v>Wed</x:v>
      </x:c>
      <x:c r="K34" s="95" t="n">
        <x:v>1</x:v>
      </x:c>
      <x:c r="L34" s="95" t="str">
        <x:v>Completed</x:v>
      </x:c>
      <x:c r="M34" s="95" t="str">
        <x:v>Goods Cage</x:v>
      </x:c>
      <x:c r="N34" s="95" t="str">
        <x:v>D49-STORES</x:v>
      </x:c>
      <x:c r="O34" s="95" t="str">
        <x:v>D19-STORES</x:v>
      </x:c>
      <x:c r="P34" s="95" t="str">
        <x:v>D19-STORES</x:v>
      </x:c>
      <x:c r="Q34" s="95" t="str">
        <x:v>AMR drop-off completed</x:v>
      </x:c>
      <x:c r="R34" s="98" t="n">
        <x:v>46029.41956018518</x:v>
      </x:c>
      <x:c r="S34" s="95" t="str">
        <x:v>Generated timeframe stores task 2/3; spaced across staff hours 06:00-16:00; due by 16:00</x:v>
      </x:c>
    </x:row>
    <x:row r="35" ht="42" customHeight="1">
      <x:c r="A35" s="95" t="str">
        <x:v>GEN_STORES_D19_01828</x:v>
      </x:c>
      <x:c r="B35" s="95" t="str"/>
      <x:c r="C35" s="95" t="str">
        <x:v>D19</x:v>
      </x:c>
      <x:c r="D35" s="95" t="str">
        <x:v>Birthing Suite</x:v>
      </x:c>
      <x:c r="E35" s="95" t="str">
        <x:v>L01</x:v>
      </x:c>
      <x:c r="F35" s="95" t="str">
        <x:v>Delivery</x:v>
      </x:c>
      <x:c r="G35" s="95" t="str">
        <x:v>timeframe</x:v>
      </x:c>
      <x:c r="H35" s="98" t="n">
        <x:v>46029.43518518518</x:v>
      </x:c>
      <x:c r="I35" s="98" t="n">
        <x:v>46029.44150462963</x:v>
      </x:c>
      <x:c r="J35" s="95" t="str">
        <x:v>Wed</x:v>
      </x:c>
      <x:c r="K35" s="95" t="n">
        <x:v>1</x:v>
      </x:c>
      <x:c r="L35" s="95" t="str">
        <x:v>Completed</x:v>
      </x:c>
      <x:c r="M35" s="95" t="str">
        <x:v>Goods Cage</x:v>
      </x:c>
      <x:c r="N35" s="95" t="str">
        <x:v>D49-STORES</x:v>
      </x:c>
      <x:c r="O35" s="95" t="str">
        <x:v>D19-STORES</x:v>
      </x:c>
      <x:c r="P35" s="95" t="str">
        <x:v>D19-STORES</x:v>
      </x:c>
      <x:c r="Q35" s="95" t="str">
        <x:v>AMR drop-off completed</x:v>
      </x:c>
      <x:c r="R35" s="98" t="n">
        <x:v>46029.44150462963</x:v>
      </x:c>
      <x:c r="S35" s="95" t="str">
        <x:v>Generated timeframe stores task 3/3; spaced across staff hours 06:00-16:00; due by 16:00</x:v>
      </x:c>
    </x:row>
    <x:row r="36" ht="42" customHeight="1">
      <x:c r="A36" s="95" t="str">
        <x:v>GEN_STORES_D1_00276</x:v>
      </x:c>
      <x:c r="B36" s="95" t="str"/>
      <x:c r="C36" s="95" t="str">
        <x:v>D1</x:v>
      </x:c>
      <x:c r="D36" s="95" t="str">
        <x:v>Fraility</x:v>
      </x:c>
      <x:c r="E36" s="95" t="str">
        <x:v>L00</x:v>
      </x:c>
      <x:c r="F36" s="95" t="str">
        <x:v>Delivery</x:v>
      </x:c>
      <x:c r="G36" s="95" t="str">
        <x:v>timeframe</x:v>
      </x:c>
      <x:c r="H36" s="98" t="n">
        <x:v>46024.30951388889</x:v>
      </x:c>
      <x:c r="I36" s="98" t="n">
        <x:v>46024.315787037034</x:v>
      </x:c>
      <x:c r="J36" s="95" t="str">
        <x:v>Fri</x:v>
      </x:c>
      <x:c r="K36" s="95" t="n">
        <x:v>1</x:v>
      </x:c>
      <x:c r="L36" s="95" t="str">
        <x:v>Completed</x:v>
      </x:c>
      <x:c r="M36" s="95" t="str">
        <x:v>Goods Cage</x:v>
      </x:c>
      <x:c r="N36" s="95" t="str">
        <x:v>D49-STORES</x:v>
      </x:c>
      <x:c r="O36" s="95" t="str">
        <x:v>D3-DROP-ZONE</x:v>
      </x:c>
      <x:c r="P36" s="95" t="str">
        <x:v>D1-STORES</x:v>
      </x:c>
      <x:c r="Q36" s="95" t="str">
        <x:v>Staff final delivery arrival</x:v>
      </x:c>
      <x:c r="R36" s="98" t="n">
        <x:v>46024.31505787037</x:v>
      </x:c>
      <x:c r="S36" s="95" t="str">
        <x:v>Generated timeframe stores task 1/3; spaced across staff hours 06:00-16:00; due by 16:00; AMR drop-off zone=D3-DROP-ZONE; final destination=D1-STORES</x:v>
      </x:c>
    </x:row>
    <x:row r="37" ht="42" customHeight="1">
      <x:c r="A37" s="95" t="str">
        <x:v>GEN_STORES_D1_00295</x:v>
      </x:c>
      <x:c r="B37" s="95" t="str"/>
      <x:c r="C37" s="95" t="str">
        <x:v>D1</x:v>
      </x:c>
      <x:c r="D37" s="95" t="str">
        <x:v>Fraility</x:v>
      </x:c>
      <x:c r="E37" s="95" t="str">
        <x:v>L00</x:v>
      </x:c>
      <x:c r="F37" s="95" t="str">
        <x:v>Delivery</x:v>
      </x:c>
      <x:c r="G37" s="95" t="str">
        <x:v>timeframe</x:v>
      </x:c>
      <x:c r="H37" s="98" t="n">
        <x:v>46024.329363425924</x:v>
      </x:c>
      <x:c r="I37" s="98" t="n">
        <x:v>46024.33662037037</x:v>
      </x:c>
      <x:c r="J37" s="95" t="str">
        <x:v>Fri</x:v>
      </x:c>
      <x:c r="K37" s="95" t="n">
        <x:v>1</x:v>
      </x:c>
      <x:c r="L37" s="95" t="str">
        <x:v>Completed</x:v>
      </x:c>
      <x:c r="M37" s="95" t="str">
        <x:v>Goods Cage</x:v>
      </x:c>
      <x:c r="N37" s="95" t="str">
        <x:v>D49-STORES</x:v>
      </x:c>
      <x:c r="O37" s="95" t="str">
        <x:v>D3-DROP-ZONE</x:v>
      </x:c>
      <x:c r="P37" s="95" t="str">
        <x:v>D1-STORES</x:v>
      </x:c>
      <x:c r="Q37" s="95" t="str">
        <x:v>Staff final delivery arrival</x:v>
      </x:c>
      <x:c r="R37" s="98" t="n">
        <x:v>46024.3358912037</x:v>
      </x:c>
      <x:c r="S37" s="95" t="str">
        <x:v>Generated timeframe stores task 2/3; spaced across staff hours 06:00-16:00; due by 16:00; AMR drop-off zone=D3-DROP-ZONE; final destination=D1-STORES</x:v>
      </x:c>
    </x:row>
    <x:row r="38" ht="42" customHeight="1">
      <x:c r="A38" s="95" t="str">
        <x:v>GEN_STORES_D1_00299</x:v>
      </x:c>
      <x:c r="B38" s="95" t="str"/>
      <x:c r="C38" s="95" t="str">
        <x:v>D1</x:v>
      </x:c>
      <x:c r="D38" s="95" t="str">
        <x:v>Fraility</x:v>
      </x:c>
      <x:c r="E38" s="95" t="str">
        <x:v>L00</x:v>
      </x:c>
      <x:c r="F38" s="95" t="str">
        <x:v>Delivery</x:v>
      </x:c>
      <x:c r="G38" s="95" t="str">
        <x:v>timeframe</x:v>
      </x:c>
      <x:c r="H38" s="98" t="n">
        <x:v>46024.34920138889</x:v>
      </x:c>
      <x:c r="I38" s="98" t="n">
        <x:v>46024.35747685185</x:v>
      </x:c>
      <x:c r="J38" s="95" t="str">
        <x:v>Fri</x:v>
      </x:c>
      <x:c r="K38" s="95" t="n">
        <x:v>1</x:v>
      </x:c>
      <x:c r="L38" s="95" t="str">
        <x:v>Completed</x:v>
      </x:c>
      <x:c r="M38" s="95" t="str">
        <x:v>Goods Cage</x:v>
      </x:c>
      <x:c r="N38" s="95" t="str">
        <x:v>D49-STORES</x:v>
      </x:c>
      <x:c r="O38" s="95" t="str">
        <x:v>D3-DROP-ZONE</x:v>
      </x:c>
      <x:c r="P38" s="95" t="str">
        <x:v>D1-STORES</x:v>
      </x:c>
      <x:c r="Q38" s="95" t="str">
        <x:v>Staff final delivery arrival</x:v>
      </x:c>
      <x:c r="R38" s="98" t="n">
        <x:v>46024.35675925926</x:v>
      </x:c>
      <x:c r="S38" s="95" t="str">
        <x:v>Generated timeframe stores task 3/3; spaced across staff hours 06:00-16:00; due by 16:00; AMR drop-off zone=D3-DROP-ZONE; final destination=D1-STORES</x:v>
      </x:c>
    </x:row>
    <x:row r="39" ht="42" customHeight="1">
      <x:c r="A39" s="95" t="str">
        <x:v>GEN_STORES_D20_00399</x:v>
      </x:c>
      <x:c r="B39" s="95" t="str"/>
      <x:c r="C39" s="95" t="str">
        <x:v>D20</x:v>
      </x:c>
      <x:c r="D39" s="95" t="str">
        <x:v>Theatres</x:v>
      </x:c>
      <x:c r="E39" s="95" t="str">
        <x:v>L01</x:v>
      </x:c>
      <x:c r="F39" s="95" t="str">
        <x:v>Delivery</x:v>
      </x:c>
      <x:c r="G39" s="95" t="str">
        <x:v>timeframe</x:v>
      </x:c>
      <x:c r="H39" s="98" t="n">
        <x:v>46024.369039351855</x:v>
      </x:c>
      <x:c r="I39" s="98" t="n">
        <x:v>46024.377905092595</x:v>
      </x:c>
      <x:c r="J39" s="95" t="str">
        <x:v>Fri</x:v>
      </x:c>
      <x:c r="K39" s="95" t="n">
        <x:v>1</x:v>
      </x:c>
      <x:c r="L39" s="95" t="str">
        <x:v>Completed</x:v>
      </x:c>
      <x:c r="M39" s="95" t="str">
        <x:v>Goods Cage</x:v>
      </x:c>
      <x:c r="N39" s="95" t="str">
        <x:v>D49-STORES</x:v>
      </x:c>
      <x:c r="O39" s="95" t="str">
        <x:v>D19-STORES</x:v>
      </x:c>
      <x:c r="P39" s="95" t="str">
        <x:v>D19-STORES</x:v>
      </x:c>
      <x:c r="Q39" s="95" t="str">
        <x:v>AMR drop-off completed</x:v>
      </x:c>
      <x:c r="R39" s="98" t="n">
        <x:v>46024.377905092595</x:v>
      </x:c>
      <x:c r="S39" s="95" t="str">
        <x:v>Generated timeframe stores task 1/3; spaced across staff hours 06:00-16:00; due by 16:00</x:v>
      </x:c>
    </x:row>
    <x:row r="40" ht="42" customHeight="1">
      <x:c r="A40" s="95" t="str">
        <x:v>GEN_STORES_D20_00400</x:v>
      </x:c>
      <x:c r="B40" s="95" t="str"/>
      <x:c r="C40" s="95" t="str">
        <x:v>D20</x:v>
      </x:c>
      <x:c r="D40" s="95" t="str">
        <x:v>Theatres</x:v>
      </x:c>
      <x:c r="E40" s="95" t="str">
        <x:v>L01</x:v>
      </x:c>
      <x:c r="F40" s="95" t="str">
        <x:v>Delivery</x:v>
      </x:c>
      <x:c r="G40" s="95" t="str">
        <x:v>timeframe</x:v>
      </x:c>
      <x:c r="H40" s="98" t="n">
        <x:v>46024.38888888889</x:v>
      </x:c>
      <x:c r="I40" s="98" t="n">
        <x:v>46024.39865740741</x:v>
      </x:c>
      <x:c r="J40" s="95" t="str">
        <x:v>Fri</x:v>
      </x:c>
      <x:c r="K40" s="95" t="n">
        <x:v>1</x:v>
      </x:c>
      <x:c r="L40" s="95" t="str">
        <x:v>Completed</x:v>
      </x:c>
      <x:c r="M40" s="95" t="str">
        <x:v>Goods Cage</x:v>
      </x:c>
      <x:c r="N40" s="95" t="str">
        <x:v>D49-STORES</x:v>
      </x:c>
      <x:c r="O40" s="95" t="str">
        <x:v>D19-STORES</x:v>
      </x:c>
      <x:c r="P40" s="95" t="str">
        <x:v>D19-STORES</x:v>
      </x:c>
      <x:c r="Q40" s="95" t="str">
        <x:v>AMR drop-off completed</x:v>
      </x:c>
      <x:c r="R40" s="98" t="n">
        <x:v>46024.39865740741</x:v>
      </x:c>
      <x:c r="S40" s="95" t="str">
        <x:v>Generated timeframe stores task 2/3; spaced across staff hours 06:00-16:00; due by 16:00</x:v>
      </x:c>
    </x:row>
    <x:row r="41" ht="42" customHeight="1">
      <x:c r="A41" s="95" t="str">
        <x:v>GEN_STORES_D20_00410</x:v>
      </x:c>
      <x:c r="B41" s="95" t="str"/>
      <x:c r="C41" s="95" t="str">
        <x:v>D20</x:v>
      </x:c>
      <x:c r="D41" s="95" t="str">
        <x:v>Theatres</x:v>
      </x:c>
      <x:c r="E41" s="95" t="str">
        <x:v>L01</x:v>
      </x:c>
      <x:c r="F41" s="95" t="str">
        <x:v>Delivery</x:v>
      </x:c>
      <x:c r="G41" s="95" t="str">
        <x:v>timeframe</x:v>
      </x:c>
      <x:c r="H41" s="98" t="n">
        <x:v>46024.40872685185</x:v>
      </x:c>
      <x:c r="I41" s="98" t="n">
        <x:v>46024.419490740744</x:v>
      </x:c>
      <x:c r="J41" s="95" t="str">
        <x:v>Fri</x:v>
      </x:c>
      <x:c r="K41" s="95" t="n">
        <x:v>1</x:v>
      </x:c>
      <x:c r="L41" s="95" t="str">
        <x:v>Completed</x:v>
      </x:c>
      <x:c r="M41" s="95" t="str">
        <x:v>Goods Cage</x:v>
      </x:c>
      <x:c r="N41" s="95" t="str">
        <x:v>D49-STORES</x:v>
      </x:c>
      <x:c r="O41" s="95" t="str">
        <x:v>D19-STORES</x:v>
      </x:c>
      <x:c r="P41" s="95" t="str">
        <x:v>D19-STORES</x:v>
      </x:c>
      <x:c r="Q41" s="95" t="str">
        <x:v>AMR drop-off completed</x:v>
      </x:c>
      <x:c r="R41" s="98" t="n">
        <x:v>46024.419490740744</x:v>
      </x:c>
      <x:c r="S41" s="95" t="str">
        <x:v>Generated timeframe stores task 3/3; spaced across staff hours 06:00-16:00; due by 16:00</x:v>
      </x:c>
    </x:row>
    <x:row r="42" ht="42" customHeight="1">
      <x:c r="A42" s="95" t="str">
        <x:v>GEN_STORES_D21_01445</x:v>
      </x:c>
      <x:c r="B42" s="95" t="str"/>
      <x:c r="C42" s="95" t="str">
        <x:v>D21</x:v>
      </x:c>
      <x:c r="D42" s="95" t="str">
        <x:v>Intensive Care</x:v>
      </x:c>
      <x:c r="E42" s="95" t="str">
        <x:v>L01</x:v>
      </x:c>
      <x:c r="F42" s="95" t="str">
        <x:v>Delivery</x:v>
      </x:c>
      <x:c r="G42" s="95" t="str">
        <x:v>timeframe</x:v>
      </x:c>
      <x:c r="H42" s="98" t="n">
        <x:v>46028.386342592596</x:v>
      </x:c>
      <x:c r="I42" s="98" t="n">
        <x:v>46028.388877314814</x:v>
      </x:c>
      <x:c r="J42" s="95" t="str">
        <x:v>Tue</x:v>
      </x:c>
      <x:c r="K42" s="95" t="n">
        <x:v>1</x:v>
      </x:c>
      <x:c r="L42" s="95" t="str">
        <x:v>Completed</x:v>
      </x:c>
      <x:c r="M42" s="95" t="str">
        <x:v>Goods Cage</x:v>
      </x:c>
      <x:c r="N42" s="95" t="str">
        <x:v>D49-STORES</x:v>
      </x:c>
      <x:c r="O42" s="95" t="str">
        <x:v>D21-STORES</x:v>
      </x:c>
      <x:c r="P42" s="95" t="str">
        <x:v>D21-STORES</x:v>
      </x:c>
      <x:c r="Q42" s="95" t="str">
        <x:v>AMR drop-off completed</x:v>
      </x:c>
      <x:c r="R42" s="98" t="n">
        <x:v>46028.388877314814</x:v>
      </x:c>
      <x:c r="S42" s="95" t="str">
        <x:v>Generated timeframe stores task 1/3; spaced across staff hours 06:00-16:00; due by 16:00</x:v>
      </x:c>
    </x:row>
    <x:row r="43" ht="42" customHeight="1">
      <x:c r="A43" s="95" t="str">
        <x:v>GEN_STORES_D21_01448</x:v>
      </x:c>
      <x:c r="B43" s="95" t="str"/>
      <x:c r="C43" s="95" t="str">
        <x:v>D21</x:v>
      </x:c>
      <x:c r="D43" s="95" t="str">
        <x:v>Intensive Care</x:v>
      </x:c>
      <x:c r="E43" s="95" t="str">
        <x:v>L01</x:v>
      </x:c>
      <x:c r="F43" s="95" t="str">
        <x:v>Delivery</x:v>
      </x:c>
      <x:c r="G43" s="95" t="str">
        <x:v>timeframe</x:v>
      </x:c>
      <x:c r="H43" s="98" t="n">
        <x:v>46028.38888888889</x:v>
      </x:c>
      <x:c r="I43" s="98" t="n">
        <x:v>46028.39834490741</x:v>
      </x:c>
      <x:c r="J43" s="95" t="str">
        <x:v>Tue</x:v>
      </x:c>
      <x:c r="K43" s="95" t="n">
        <x:v>1</x:v>
      </x:c>
      <x:c r="L43" s="95" t="str">
        <x:v>Completed</x:v>
      </x:c>
      <x:c r="M43" s="95" t="str">
        <x:v>Goods Cage</x:v>
      </x:c>
      <x:c r="N43" s="95" t="str">
        <x:v>D49-STORES</x:v>
      </x:c>
      <x:c r="O43" s="95" t="str">
        <x:v>D21-STORES</x:v>
      </x:c>
      <x:c r="P43" s="95" t="str">
        <x:v>D21-STORES</x:v>
      </x:c>
      <x:c r="Q43" s="95" t="str">
        <x:v>AMR drop-off completed</x:v>
      </x:c>
      <x:c r="R43" s="98" t="n">
        <x:v>46028.39834490741</x:v>
      </x:c>
      <x:c r="S43" s="95" t="str">
        <x:v>Generated timeframe stores task 2/3; spaced across staff hours 06:00-16:00; due by 16:00</x:v>
      </x:c>
    </x:row>
    <x:row r="44" ht="42" customHeight="1">
      <x:c r="A44" s="95" t="str">
        <x:v>GEN_STORES_D21_01449</x:v>
      </x:c>
      <x:c r="B44" s="95" t="str"/>
      <x:c r="C44" s="95" t="str">
        <x:v>D21</x:v>
      </x:c>
      <x:c r="D44" s="95" t="str">
        <x:v>Intensive Care</x:v>
      </x:c>
      <x:c r="E44" s="95" t="str">
        <x:v>L01</x:v>
      </x:c>
      <x:c r="F44" s="95" t="str">
        <x:v>Delivery</x:v>
      </x:c>
      <x:c r="G44" s="95" t="str">
        <x:v>timeframe</x:v>
      </x:c>
      <x:c r="H44" s="98" t="n">
        <x:v>46028.40277777778</x:v>
      </x:c>
      <x:c r="I44" s="98" t="n">
        <x:v>46028.41028935185</x:v>
      </x:c>
      <x:c r="J44" s="95" t="str">
        <x:v>Tue</x:v>
      </x:c>
      <x:c r="K44" s="95" t="n">
        <x:v>1</x:v>
      </x:c>
      <x:c r="L44" s="95" t="str">
        <x:v>Completed</x:v>
      </x:c>
      <x:c r="M44" s="95" t="str">
        <x:v>Goods Cage</x:v>
      </x:c>
      <x:c r="N44" s="95" t="str">
        <x:v>D49-STORES</x:v>
      </x:c>
      <x:c r="O44" s="95" t="str">
        <x:v>D21-STORES</x:v>
      </x:c>
      <x:c r="P44" s="95" t="str">
        <x:v>D21-STORES</x:v>
      </x:c>
      <x:c r="Q44" s="95" t="str">
        <x:v>AMR drop-off completed</x:v>
      </x:c>
      <x:c r="R44" s="98" t="n">
        <x:v>46028.41028935185</x:v>
      </x:c>
      <x:c r="S44" s="95" t="str">
        <x:v>Generated timeframe stores task 3/3; spaced across staff hours 06:00-16:00; due by 16:00</x:v>
      </x:c>
    </x:row>
    <x:row r="45" ht="42" customHeight="1">
      <x:c r="A45" s="95" t="str">
        <x:v>GEN_STORES_D22_00121</x:v>
      </x:c>
      <x:c r="B45" s="95" t="str"/>
      <x:c r="C45" s="95" t="str">
        <x:v>D22</x:v>
      </x:c>
      <x:c r="D45" s="95" t="str">
        <x:v>Endoscopy</x:v>
      </x:c>
      <x:c r="E45" s="95" t="str">
        <x:v>L01</x:v>
      </x:c>
      <x:c r="F45" s="95" t="str">
        <x:v>Delivery</x:v>
      </x:c>
      <x:c r="G45" s="95" t="str">
        <x:v>timeframe</x:v>
      </x:c>
      <x:c r="H45" s="98" t="n">
        <x:v>46023.385416666664</x:v>
      </x:c>
      <x:c r="I45" s="98" t="n">
        <x:v>46023.388090277775</x:v>
      </x:c>
      <x:c r="J45" s="95" t="str">
        <x:v>Thu</x:v>
      </x:c>
      <x:c r="K45" s="95" t="n">
        <x:v>1</x:v>
      </x:c>
      <x:c r="L45" s="95" t="str">
        <x:v>Completed</x:v>
      </x:c>
      <x:c r="M45" s="95" t="str">
        <x:v>Goods Cage</x:v>
      </x:c>
      <x:c r="N45" s="95" t="str">
        <x:v>D49-STORES</x:v>
      </x:c>
      <x:c r="O45" s="95" t="str">
        <x:v>D22-STORES</x:v>
      </x:c>
      <x:c r="P45" s="95" t="str">
        <x:v>D22-STORES</x:v>
      </x:c>
      <x:c r="Q45" s="95" t="str">
        <x:v>AMR drop-off completed</x:v>
      </x:c>
      <x:c r="R45" s="98" t="n">
        <x:v>46023.388090277775</x:v>
      </x:c>
      <x:c r="S45" s="95" t="str">
        <x:v>Generated timeframe stores task 1/3; spaced across staff hours 07:00-16:00; due by 16:00</x:v>
      </x:c>
    </x:row>
    <x:row r="46" ht="42" customHeight="1">
      <x:c r="A46" s="95" t="str">
        <x:v>GEN_STORES_D22_00123</x:v>
      </x:c>
      <x:c r="B46" s="95" t="str"/>
      <x:c r="C46" s="95" t="str">
        <x:v>D22</x:v>
      </x:c>
      <x:c r="D46" s="95" t="str">
        <x:v>Endoscopy</x:v>
      </x:c>
      <x:c r="E46" s="95" t="str">
        <x:v>L01</x:v>
      </x:c>
      <x:c r="F46" s="95" t="str">
        <x:v>Delivery</x:v>
      </x:c>
      <x:c r="G46" s="95" t="str">
        <x:v>timeframe</x:v>
      </x:c>
      <x:c r="H46" s="98" t="n">
        <x:v>46023.41678240741</x:v>
      </x:c>
      <x:c r="I46" s="98" t="n">
        <x:v>46023.41952546296</x:v>
      </x:c>
      <x:c r="J46" s="95" t="str">
        <x:v>Thu</x:v>
      </x:c>
      <x:c r="K46" s="95" t="n">
        <x:v>1</x:v>
      </x:c>
      <x:c r="L46" s="95" t="str">
        <x:v>Completed</x:v>
      </x:c>
      <x:c r="M46" s="95" t="str">
        <x:v>Goods Cage</x:v>
      </x:c>
      <x:c r="N46" s="95" t="str">
        <x:v>D49-STORES</x:v>
      </x:c>
      <x:c r="O46" s="95" t="str">
        <x:v>D22-STORES</x:v>
      </x:c>
      <x:c r="P46" s="95" t="str">
        <x:v>D22-STORES</x:v>
      </x:c>
      <x:c r="Q46" s="95" t="str">
        <x:v>AMR drop-off completed</x:v>
      </x:c>
      <x:c r="R46" s="98" t="n">
        <x:v>46023.41952546296</x:v>
      </x:c>
      <x:c r="S46" s="95" t="str">
        <x:v>Generated timeframe stores task 2/3; spaced across staff hours 07:00-16:00; due by 16:00</x:v>
      </x:c>
    </x:row>
    <x:row r="47" ht="42" customHeight="1">
      <x:c r="A47" s="95" t="str">
        <x:v>GEN_STORES_D22_00124</x:v>
      </x:c>
      <x:c r="B47" s="95" t="str"/>
      <x:c r="C47" s="95" t="str">
        <x:v>D22</x:v>
      </x:c>
      <x:c r="D47" s="95" t="str">
        <x:v>Endoscopy</x:v>
      </x:c>
      <x:c r="E47" s="95" t="str">
        <x:v>L01</x:v>
      </x:c>
      <x:c r="F47" s="95" t="str">
        <x:v>Delivery</x:v>
      </x:c>
      <x:c r="G47" s="95" t="str">
        <x:v>timeframe</x:v>
      </x:c>
      <x:c r="H47" s="98" t="n">
        <x:v>46023.447916666664</x:v>
      </x:c>
      <x:c r="I47" s="98" t="n">
        <x:v>46023.45056712963</x:v>
      </x:c>
      <x:c r="J47" s="95" t="str">
        <x:v>Thu</x:v>
      </x:c>
      <x:c r="K47" s="95" t="n">
        <x:v>1</x:v>
      </x:c>
      <x:c r="L47" s="95" t="str">
        <x:v>Completed</x:v>
      </x:c>
      <x:c r="M47" s="95" t="str">
        <x:v>Goods Cage</x:v>
      </x:c>
      <x:c r="N47" s="95" t="str">
        <x:v>D49-STORES</x:v>
      </x:c>
      <x:c r="O47" s="95" t="str">
        <x:v>D22-STORES</x:v>
      </x:c>
      <x:c r="P47" s="95" t="str">
        <x:v>D22-STORES</x:v>
      </x:c>
      <x:c r="Q47" s="95" t="str">
        <x:v>AMR drop-off completed</x:v>
      </x:c>
      <x:c r="R47" s="98" t="n">
        <x:v>46023.45056712963</x:v>
      </x:c>
      <x:c r="S47" s="95" t="str">
        <x:v>Generated timeframe stores task 3/3; spaced across staff hours 07:00-16:00; due by 16:00</x:v>
      </x:c>
    </x:row>
    <x:row r="48" ht="42" customHeight="1">
      <x:c r="A48" s="95" t="str">
        <x:v>GEN_STORES_D22_01005</x:v>
      </x:c>
      <x:c r="B48" s="95" t="str"/>
      <x:c r="C48" s="95" t="str">
        <x:v>D22</x:v>
      </x:c>
      <x:c r="D48" s="95" t="str">
        <x:v>Endoscopy</x:v>
      </x:c>
      <x:c r="E48" s="95" t="str">
        <x:v>L01</x:v>
      </x:c>
      <x:c r="F48" s="95" t="str">
        <x:v>Delivery</x:v>
      </x:c>
      <x:c r="G48" s="95" t="str">
        <x:v>timeframe</x:v>
      </x:c>
      <x:c r="H48" s="98" t="n">
        <x:v>46027.35983796296</x:v>
      </x:c>
      <x:c r="I48" s="98" t="n">
        <x:v>46027.367164351854</x:v>
      </x:c>
      <x:c r="J48" s="95" t="str">
        <x:v>Mon</x:v>
      </x:c>
      <x:c r="K48" s="95" t="n">
        <x:v>1</x:v>
      </x:c>
      <x:c r="L48" s="95" t="str">
        <x:v>Completed</x:v>
      </x:c>
      <x:c r="M48" s="95" t="str">
        <x:v>Goods Cage</x:v>
      </x:c>
      <x:c r="N48" s="95" t="str">
        <x:v>D49-STORES</x:v>
      </x:c>
      <x:c r="O48" s="95" t="str">
        <x:v>D22-STORES</x:v>
      </x:c>
      <x:c r="P48" s="95" t="str">
        <x:v>D22-STORES</x:v>
      </x:c>
      <x:c r="Q48" s="95" t="str">
        <x:v>AMR drop-off completed</x:v>
      </x:c>
      <x:c r="R48" s="98" t="n">
        <x:v>46027.367164351854</x:v>
      </x:c>
      <x:c r="S48" s="95" t="str">
        <x:v>Generated timeframe stores task 1/3; spaced across staff hours 07:00-16:00; due by 16:00</x:v>
      </x:c>
    </x:row>
    <x:row r="49" ht="42" customHeight="1">
      <x:c r="A49" s="95" t="str">
        <x:v>GEN_STORES_D22_01104</x:v>
      </x:c>
      <x:c r="B49" s="95" t="str"/>
      <x:c r="C49" s="95" t="str">
        <x:v>D22</x:v>
      </x:c>
      <x:c r="D49" s="95" t="str">
        <x:v>Endoscopy</x:v>
      </x:c>
      <x:c r="E49" s="95" t="str">
        <x:v>L01</x:v>
      </x:c>
      <x:c r="F49" s="95" t="str">
        <x:v>Delivery</x:v>
      </x:c>
      <x:c r="G49" s="95" t="str">
        <x:v>timeframe</x:v>
      </x:c>
      <x:c r="H49" s="98" t="n">
        <x:v>46027.371203703704</x:v>
      </x:c>
      <x:c r="I49" s="98" t="n">
        <x:v>46027.377592592595</x:v>
      </x:c>
      <x:c r="J49" s="95" t="str">
        <x:v>Mon</x:v>
      </x:c>
      <x:c r="K49" s="95" t="n">
        <x:v>1</x:v>
      </x:c>
      <x:c r="L49" s="95" t="str">
        <x:v>Completed</x:v>
      </x:c>
      <x:c r="M49" s="95" t="str">
        <x:v>Goods Cage</x:v>
      </x:c>
      <x:c r="N49" s="95" t="str">
        <x:v>D49-STORES</x:v>
      </x:c>
      <x:c r="O49" s="95" t="str">
        <x:v>D22-STORES</x:v>
      </x:c>
      <x:c r="P49" s="95" t="str">
        <x:v>D22-STORES</x:v>
      </x:c>
      <x:c r="Q49" s="95" t="str">
        <x:v>AMR drop-off completed</x:v>
      </x:c>
      <x:c r="R49" s="98" t="n">
        <x:v>46027.377592592595</x:v>
      </x:c>
      <x:c r="S49" s="95" t="str">
        <x:v>Generated timeframe stores task 2/3; spaced across staff hours 07:00-16:00; due by 16:00</x:v>
      </x:c>
    </x:row>
    <x:row r="50" ht="42" customHeight="1">
      <x:c r="A50" s="95" t="str">
        <x:v>GEN_STORES_D22_01105</x:v>
      </x:c>
      <x:c r="B50" s="95" t="str"/>
      <x:c r="C50" s="95" t="str">
        <x:v>D22</x:v>
      </x:c>
      <x:c r="D50" s="95" t="str">
        <x:v>Endoscopy</x:v>
      </x:c>
      <x:c r="E50" s="95" t="str">
        <x:v>L01</x:v>
      </x:c>
      <x:c r="F50" s="95" t="str">
        <x:v>Delivery</x:v>
      </x:c>
      <x:c r="G50" s="95" t="str">
        <x:v>timeframe</x:v>
      </x:c>
      <x:c r="H50" s="98" t="n">
        <x:v>46027.382569444446</x:v>
      </x:c>
      <x:c r="I50" s="98" t="n">
        <x:v>46027.38796296297</x:v>
      </x:c>
      <x:c r="J50" s="95" t="str">
        <x:v>Mon</x:v>
      </x:c>
      <x:c r="K50" s="95" t="n">
        <x:v>1</x:v>
      </x:c>
      <x:c r="L50" s="95" t="str">
        <x:v>Completed</x:v>
      </x:c>
      <x:c r="M50" s="95" t="str">
        <x:v>Goods Cage</x:v>
      </x:c>
      <x:c r="N50" s="95" t="str">
        <x:v>D49-STORES</x:v>
      </x:c>
      <x:c r="O50" s="95" t="str">
        <x:v>D22-STORES</x:v>
      </x:c>
      <x:c r="P50" s="95" t="str">
        <x:v>D22-STORES</x:v>
      </x:c>
      <x:c r="Q50" s="95" t="str">
        <x:v>AMR drop-off completed</x:v>
      </x:c>
      <x:c r="R50" s="98" t="n">
        <x:v>46027.38796296297</x:v>
      </x:c>
      <x:c r="S50" s="95" t="str">
        <x:v>Generated timeframe stores task 3/3; spaced across staff hours 07:00-16:00; due by 16:00</x:v>
      </x:c>
    </x:row>
    <x:row r="51" ht="42" customHeight="1">
      <x:c r="A51" s="95" t="str">
        <x:v>GEN_STORES_D23_01106</x:v>
      </x:c>
      <x:c r="B51" s="95" t="str"/>
      <x:c r="C51" s="95" t="str">
        <x:v>D23</x:v>
      </x:c>
      <x:c r="D51" s="95" t="str">
        <x:v>Gynae Outpatients</x:v>
      </x:c>
      <x:c r="E51" s="95" t="str">
        <x:v>L01</x:v>
      </x:c>
      <x:c r="F51" s="95" t="str">
        <x:v>Delivery</x:v>
      </x:c>
      <x:c r="G51" s="95" t="str">
        <x:v>timeframe</x:v>
      </x:c>
      <x:c r="H51" s="98" t="n">
        <x:v>46027.39393518519</x:v>
      </x:c>
      <x:c r="I51" s="98" t="n">
        <x:v>46027.398310185185</x:v>
      </x:c>
      <x:c r="J51" s="95" t="str">
        <x:v>Mon</x:v>
      </x:c>
      <x:c r="K51" s="95" t="n">
        <x:v>1</x:v>
      </x:c>
      <x:c r="L51" s="95" t="str">
        <x:v>Completed</x:v>
      </x:c>
      <x:c r="M51" s="95" t="str">
        <x:v>Goods Cage</x:v>
      </x:c>
      <x:c r="N51" s="95" t="str">
        <x:v>D49-STORES</x:v>
      </x:c>
      <x:c r="O51" s="95" t="str">
        <x:v>D22-STORES</x:v>
      </x:c>
      <x:c r="P51" s="95" t="str">
        <x:v>D22-STORES</x:v>
      </x:c>
      <x:c r="Q51" s="95" t="str">
        <x:v>AMR drop-off completed</x:v>
      </x:c>
      <x:c r="R51" s="98" t="n">
        <x:v>46027.398310185185</x:v>
      </x:c>
      <x:c r="S51" s="95" t="str">
        <x:v>Generated timeframe stores task 1/3; spaced across staff hours 07:00-16:00; due by 16:00</x:v>
      </x:c>
    </x:row>
    <x:row r="52" ht="42" customHeight="1">
      <x:c r="A52" s="95" t="str">
        <x:v>GEN_STORES_D23_01107</x:v>
      </x:c>
      <x:c r="B52" s="95" t="str"/>
      <x:c r="C52" s="95" t="str">
        <x:v>D23</x:v>
      </x:c>
      <x:c r="D52" s="95" t="str">
        <x:v>Gynae Outpatients</x:v>
      </x:c>
      <x:c r="E52" s="95" t="str">
        <x:v>L01</x:v>
      </x:c>
      <x:c r="F52" s="95" t="str">
        <x:v>Delivery</x:v>
      </x:c>
      <x:c r="G52" s="95" t="str">
        <x:v>timeframe</x:v>
      </x:c>
      <x:c r="H52" s="98" t="n">
        <x:v>46027.40530092592</x:v>
      </x:c>
      <x:c r="I52" s="98" t="n">
        <x:v>46027.408784722225</x:v>
      </x:c>
      <x:c r="J52" s="95" t="str">
        <x:v>Mon</x:v>
      </x:c>
      <x:c r="K52" s="95" t="n">
        <x:v>1</x:v>
      </x:c>
      <x:c r="L52" s="95" t="str">
        <x:v>Completed</x:v>
      </x:c>
      <x:c r="M52" s="95" t="str">
        <x:v>Goods Cage</x:v>
      </x:c>
      <x:c r="N52" s="95" t="str">
        <x:v>D49-STORES</x:v>
      </x:c>
      <x:c r="O52" s="95" t="str">
        <x:v>D22-STORES</x:v>
      </x:c>
      <x:c r="P52" s="95" t="str">
        <x:v>D22-STORES</x:v>
      </x:c>
      <x:c r="Q52" s="95" t="str">
        <x:v>AMR drop-off completed</x:v>
      </x:c>
      <x:c r="R52" s="98" t="n">
        <x:v>46027.408784722225</x:v>
      </x:c>
      <x:c r="S52" s="95" t="str">
        <x:v>Generated timeframe stores task 2/3; spaced across staff hours 07:00-16:00; due by 16:00</x:v>
      </x:c>
    </x:row>
    <x:row r="53" ht="42" customHeight="1">
      <x:c r="A53" s="95" t="str">
        <x:v>GEN_STORES_D23_01111</x:v>
      </x:c>
      <x:c r="B53" s="95" t="str"/>
      <x:c r="C53" s="95" t="str">
        <x:v>D23</x:v>
      </x:c>
      <x:c r="D53" s="95" t="str">
        <x:v>Gynae Outpatients</x:v>
      </x:c>
      <x:c r="E53" s="95" t="str">
        <x:v>L01</x:v>
      </x:c>
      <x:c r="F53" s="95" t="str">
        <x:v>Delivery</x:v>
      </x:c>
      <x:c r="G53" s="95" t="str">
        <x:v>timeframe</x:v>
      </x:c>
      <x:c r="H53" s="98" t="n">
        <x:v>46027.41701388889</x:v>
      </x:c>
      <x:c r="I53" s="98" t="n">
        <x:v>46027.419583333336</x:v>
      </x:c>
      <x:c r="J53" s="95" t="str">
        <x:v>Mon</x:v>
      </x:c>
      <x:c r="K53" s="95" t="n">
        <x:v>1</x:v>
      </x:c>
      <x:c r="L53" s="95" t="str">
        <x:v>Completed</x:v>
      </x:c>
      <x:c r="M53" s="95" t="str">
        <x:v>Goods Cage</x:v>
      </x:c>
      <x:c r="N53" s="95" t="str">
        <x:v>D49-STORES</x:v>
      </x:c>
      <x:c r="O53" s="95" t="str">
        <x:v>D22-STORES</x:v>
      </x:c>
      <x:c r="P53" s="95" t="str">
        <x:v>D22-STORES</x:v>
      </x:c>
      <x:c r="Q53" s="95" t="str">
        <x:v>AMR drop-off completed</x:v>
      </x:c>
      <x:c r="R53" s="98" t="n">
        <x:v>46027.419583333336</x:v>
      </x:c>
      <x:c r="S53" s="95" t="str">
        <x:v>Generated timeframe stores task 3/3; spaced across staff hours 07:00-16:00; due by 16:00</x:v>
      </x:c>
    </x:row>
    <x:row r="54" ht="42" customHeight="1">
      <x:c r="A54" s="95" t="str">
        <x:v>GEN_STORES_D24_01112</x:v>
      </x:c>
      <x:c r="B54" s="95" t="str"/>
      <x:c r="C54" s="95" t="str">
        <x:v>D24</x:v>
      </x:c>
      <x:c r="D54" s="95" t="str">
        <x:v>Urology Outpatients</x:v>
      </x:c>
      <x:c r="E54" s="95" t="str">
        <x:v>L01</x:v>
      </x:c>
      <x:c r="F54" s="95" t="str">
        <x:v>Delivery</x:v>
      </x:c>
      <x:c r="G54" s="95" t="str">
        <x:v>timeframe</x:v>
      </x:c>
      <x:c r="H54" s="98" t="n">
        <x:v>46027.42802083334</x:v>
      </x:c>
      <x:c r="I54" s="98" t="n">
        <x:v>46027.44006944444</x:v>
      </x:c>
      <x:c r="J54" s="95" t="str">
        <x:v>Mon</x:v>
      </x:c>
      <x:c r="K54" s="95" t="n">
        <x:v>1</x:v>
      </x:c>
      <x:c r="L54" s="95" t="str">
        <x:v>Completed</x:v>
      </x:c>
      <x:c r="M54" s="95" t="str">
        <x:v>Goods Cage</x:v>
      </x:c>
      <x:c r="N54" s="95" t="str">
        <x:v>D49-STORES</x:v>
      </x:c>
      <x:c r="O54" s="95" t="str">
        <x:v>D22-STORES</x:v>
      </x:c>
      <x:c r="P54" s="95" t="str">
        <x:v>D22-STORES</x:v>
      </x:c>
      <x:c r="Q54" s="95" t="str">
        <x:v>AMR drop-off completed</x:v>
      </x:c>
      <x:c r="R54" s="98" t="n">
        <x:v>46027.44006944444</x:v>
      </x:c>
      <x:c r="S54" s="95" t="str">
        <x:v>Generated timeframe stores task 1/3; spaced across staff hours 07:00-16:00; due by 16:00</x:v>
      </x:c>
    </x:row>
    <x:row r="55" ht="42" customHeight="1">
      <x:c r="A55" s="95" t="str">
        <x:v>GEN_STORES_D24_01113</x:v>
      </x:c>
      <x:c r="B55" s="95" t="str"/>
      <x:c r="C55" s="95" t="str">
        <x:v>D24</x:v>
      </x:c>
      <x:c r="D55" s="95" t="str">
        <x:v>Urology Outpatients</x:v>
      </x:c>
      <x:c r="E55" s="95" t="str">
        <x:v>L01</x:v>
      </x:c>
      <x:c r="F55" s="95" t="str">
        <x:v>Delivery</x:v>
      </x:c>
      <x:c r="G55" s="95" t="str">
        <x:v>timeframe</x:v>
      </x:c>
      <x:c r="H55" s="98" t="n">
        <x:v>46027.43938657407</x:v>
      </x:c>
      <x:c r="I55" s="98" t="n">
        <x:v>46027.450625</x:v>
      </x:c>
      <x:c r="J55" s="95" t="str">
        <x:v>Mon</x:v>
      </x:c>
      <x:c r="K55" s="95" t="n">
        <x:v>1</x:v>
      </x:c>
      <x:c r="L55" s="95" t="str">
        <x:v>Completed</x:v>
      </x:c>
      <x:c r="M55" s="95" t="str">
        <x:v>Goods Cage</x:v>
      </x:c>
      <x:c r="N55" s="95" t="str">
        <x:v>D49-STORES</x:v>
      </x:c>
      <x:c r="O55" s="95" t="str">
        <x:v>D22-STORES</x:v>
      </x:c>
      <x:c r="P55" s="95" t="str">
        <x:v>D22-STORES</x:v>
      </x:c>
      <x:c r="Q55" s="95" t="str">
        <x:v>AMR drop-off completed</x:v>
      </x:c>
      <x:c r="R55" s="98" t="n">
        <x:v>46027.450625</x:v>
      </x:c>
      <x:c r="S55" s="95" t="str">
        <x:v>Generated timeframe stores task 2/3; spaced across staff hours 07:00-16:00; due by 16:00</x:v>
      </x:c>
    </x:row>
    <x:row r="56" ht="42" customHeight="1">
      <x:c r="A56" s="95" t="str">
        <x:v>GEN_STORES_D24_01114</x:v>
      </x:c>
      <x:c r="B56" s="95" t="str"/>
      <x:c r="C56" s="95" t="str">
        <x:v>D24</x:v>
      </x:c>
      <x:c r="D56" s="95" t="str">
        <x:v>Urology Outpatients</x:v>
      </x:c>
      <x:c r="E56" s="95" t="str">
        <x:v>L01</x:v>
      </x:c>
      <x:c r="F56" s="95" t="str">
        <x:v>Delivery</x:v>
      </x:c>
      <x:c r="G56" s="95" t="str">
        <x:v>timeframe</x:v>
      </x:c>
      <x:c r="H56" s="98" t="n">
        <x:v>46027.45075231481</x:v>
      </x:c>
      <x:c r="I56" s="98" t="n">
        <x:v>46027.461018518516</x:v>
      </x:c>
      <x:c r="J56" s="95" t="str">
        <x:v>Mon</x:v>
      </x:c>
      <x:c r="K56" s="95" t="n">
        <x:v>1</x:v>
      </x:c>
      <x:c r="L56" s="95" t="str">
        <x:v>Completed</x:v>
      </x:c>
      <x:c r="M56" s="95" t="str">
        <x:v>Goods Cage</x:v>
      </x:c>
      <x:c r="N56" s="95" t="str">
        <x:v>D49-STORES</x:v>
      </x:c>
      <x:c r="O56" s="95" t="str">
        <x:v>D22-STORES</x:v>
      </x:c>
      <x:c r="P56" s="95" t="str">
        <x:v>D22-STORES</x:v>
      </x:c>
      <x:c r="Q56" s="95" t="str">
        <x:v>AMR drop-off completed</x:v>
      </x:c>
      <x:c r="R56" s="98" t="n">
        <x:v>46027.461018518516</x:v>
      </x:c>
      <x:c r="S56" s="95" t="str">
        <x:v>Generated timeframe stores task 3/3; spaced across staff hours 07:00-16:00; due by 16:00</x:v>
      </x:c>
    </x:row>
    <x:row r="57" ht="42" customHeight="1">
      <x:c r="A57" s="95" t="str">
        <x:v>GEN_STORES_D27_01116</x:v>
      </x:c>
      <x:c r="B57" s="95" t="str"/>
      <x:c r="C57" s="95" t="str">
        <x:v>D27</x:v>
      </x:c>
      <x:c r="D57" s="95" t="str">
        <x:v>Minor ops Suite</x:v>
      </x:c>
      <x:c r="E57" s="95" t="str">
        <x:v>L01</x:v>
      </x:c>
      <x:c r="F57" s="95" t="str">
        <x:v>Delivery</x:v>
      </x:c>
      <x:c r="G57" s="95" t="str">
        <x:v>timeframe</x:v>
      </x:c>
      <x:c r="H57" s="98" t="n">
        <x:v>46027.462118055555</x:v>
      </x:c>
      <x:c r="I57" s="98" t="n">
        <x:v>46027.47337962963</x:v>
      </x:c>
      <x:c r="J57" s="95" t="str">
        <x:v>Mon</x:v>
      </x:c>
      <x:c r="K57" s="95" t="n">
        <x:v>1</x:v>
      </x:c>
      <x:c r="L57" s="95" t="str">
        <x:v>Completed</x:v>
      </x:c>
      <x:c r="M57" s="95" t="str">
        <x:v>Goods Cage</x:v>
      </x:c>
      <x:c r="N57" s="95" t="str">
        <x:v>D49-STORES</x:v>
      </x:c>
      <x:c r="O57" s="95" t="str">
        <x:v>D22-STORES</x:v>
      </x:c>
      <x:c r="P57" s="95" t="str">
        <x:v>D22-STORES</x:v>
      </x:c>
      <x:c r="Q57" s="95" t="str">
        <x:v>AMR drop-off completed</x:v>
      </x:c>
      <x:c r="R57" s="98" t="n">
        <x:v>46027.47337962963</x:v>
      </x:c>
      <x:c r="S57" s="95" t="str">
        <x:v>Generated timeframe stores task 1/3; spaced across staff hours 07:00-16:00; due by 16:00</x:v>
      </x:c>
    </x:row>
    <x:row r="58" ht="42" customHeight="1">
      <x:c r="A58" s="95" t="str">
        <x:v>GEN_STORES_D27_01117</x:v>
      </x:c>
      <x:c r="B58" s="95" t="str"/>
      <x:c r="C58" s="95" t="str">
        <x:v>D27</x:v>
      </x:c>
      <x:c r="D58" s="95" t="str">
        <x:v>Minor ops Suite</x:v>
      </x:c>
      <x:c r="E58" s="95" t="str">
        <x:v>L01</x:v>
      </x:c>
      <x:c r="F58" s="95" t="str">
        <x:v>Delivery</x:v>
      </x:c>
      <x:c r="G58" s="95" t="str">
        <x:v>timeframe</x:v>
      </x:c>
      <x:c r="H58" s="98" t="n">
        <x:v>46027.4734837963</x:v>
      </x:c>
      <x:c r="I58" s="98" t="n">
        <x:v>46027.48190972222</x:v>
      </x:c>
      <x:c r="J58" s="95" t="str">
        <x:v>Mon</x:v>
      </x:c>
      <x:c r="K58" s="95" t="n">
        <x:v>1</x:v>
      </x:c>
      <x:c r="L58" s="95" t="str">
        <x:v>Completed</x:v>
      </x:c>
      <x:c r="M58" s="95" t="str">
        <x:v>Goods Cage</x:v>
      </x:c>
      <x:c r="N58" s="95" t="str">
        <x:v>D49-STORES</x:v>
      </x:c>
      <x:c r="O58" s="95" t="str">
        <x:v>D22-STORES</x:v>
      </x:c>
      <x:c r="P58" s="95" t="str">
        <x:v>D22-STORES</x:v>
      </x:c>
      <x:c r="Q58" s="95" t="str">
        <x:v>AMR drop-off completed</x:v>
      </x:c>
      <x:c r="R58" s="98" t="n">
        <x:v>46027.48190972222</x:v>
      </x:c>
      <x:c r="S58" s="95" t="str">
        <x:v>Generated timeframe stores task 2/3; spaced across staff hours 07:00-16:00; due by 16:00</x:v>
      </x:c>
    </x:row>
    <x:row r="59" ht="42" customHeight="1">
      <x:c r="A59" s="95" t="str">
        <x:v>GEN_STORES_D27_01136</x:v>
      </x:c>
      <x:c r="B59" s="95" t="str"/>
      <x:c r="C59" s="95" t="str">
        <x:v>D27</x:v>
      </x:c>
      <x:c r="D59" s="95" t="str">
        <x:v>Minor ops Suite</x:v>
      </x:c>
      <x:c r="E59" s="95" t="str">
        <x:v>L01</x:v>
      </x:c>
      <x:c r="F59" s="95" t="str">
        <x:v>Delivery</x:v>
      </x:c>
      <x:c r="G59" s="95" t="str">
        <x:v>timeframe</x:v>
      </x:c>
      <x:c r="H59" s="98" t="n">
        <x:v>46027.48483796296</x:v>
      </x:c>
      <x:c r="I59" s="98" t="n">
        <x:v>46027.49204861111</x:v>
      </x:c>
      <x:c r="J59" s="95" t="str">
        <x:v>Mon</x:v>
      </x:c>
      <x:c r="K59" s="95" t="n">
        <x:v>1</x:v>
      </x:c>
      <x:c r="L59" s="95" t="str">
        <x:v>Completed</x:v>
      </x:c>
      <x:c r="M59" s="95" t="str">
        <x:v>Goods Cage</x:v>
      </x:c>
      <x:c r="N59" s="95" t="str">
        <x:v>D49-STORES</x:v>
      </x:c>
      <x:c r="O59" s="95" t="str">
        <x:v>D22-STORES</x:v>
      </x:c>
      <x:c r="P59" s="95" t="str">
        <x:v>D22-STORES</x:v>
      </x:c>
      <x:c r="Q59" s="95" t="str">
        <x:v>AMR drop-off completed</x:v>
      </x:c>
      <x:c r="R59" s="98" t="n">
        <x:v>46027.49204861111</x:v>
      </x:c>
      <x:c r="S59" s="95" t="str">
        <x:v>Generated timeframe stores task 3/3; spaced across staff hours 07:00-16:00; due by 16:00</x:v>
      </x:c>
    </x:row>
    <x:row r="60" ht="42" customHeight="1">
      <x:c r="A60" s="95" t="str">
        <x:v>GEN_STORES_D29_00125</x:v>
      </x:c>
      <x:c r="B60" s="95" t="str"/>
      <x:c r="C60" s="95" t="str">
        <x:v>D29</x:v>
      </x:c>
      <x:c r="D60" s="95" t="str">
        <x:v>Paediatric Inpatients</x:v>
      </x:c>
      <x:c r="E60" s="95" t="str">
        <x:v>L03</x:v>
      </x:c>
      <x:c r="F60" s="95" t="str">
        <x:v>Delivery</x:v>
      </x:c>
      <x:c r="G60" s="95" t="str">
        <x:v>timeframe</x:v>
      </x:c>
      <x:c r="H60" s="98" t="n">
        <x:v>46023.458333333336</x:v>
      </x:c>
      <x:c r="I60" s="98" t="n">
        <x:v>46023.46375</x:v>
      </x:c>
      <x:c r="J60" s="95" t="str">
        <x:v>Thu</x:v>
      </x:c>
      <x:c r="K60" s="95" t="n">
        <x:v>1</x:v>
      </x:c>
      <x:c r="L60" s="95" t="str">
        <x:v>Completed</x:v>
      </x:c>
      <x:c r="M60" s="95" t="str">
        <x:v>Goods Cage</x:v>
      </x:c>
      <x:c r="N60" s="95" t="str">
        <x:v>D49-STORES</x:v>
      </x:c>
      <x:c r="O60" s="95" t="str">
        <x:v>D29-DROP-ZONE</x:v>
      </x:c>
      <x:c r="P60" s="95" t="str">
        <x:v>D29-STORES</x:v>
      </x:c>
      <x:c r="Q60" s="95" t="str">
        <x:v>Staff final delivery arrival</x:v>
      </x:c>
      <x:c r="R60" s="98" t="n">
        <x:v>46023.46126157408</x:v>
      </x:c>
      <x:c r="S60" s="95" t="str">
        <x:v>Generated timeframe stores task 1/3; spaced across staff hours 06:00-16:00; due by 16:00; AMR drop-off zone=D29-DROP-ZONE; final destination=D29-STORES</x:v>
      </x:c>
    </x:row>
    <x:row r="61" ht="42" customHeight="1">
      <x:c r="A61" s="95" t="str">
        <x:v>GEN_STORES_D29_00145</x:v>
      </x:c>
      <x:c r="B61" s="95" t="str"/>
      <x:c r="C61" s="95" t="str">
        <x:v>D29</x:v>
      </x:c>
      <x:c r="D61" s="95" t="str">
        <x:v>Paediatric Inpatients</x:v>
      </x:c>
      <x:c r="E61" s="95" t="str">
        <x:v>L03</x:v>
      </x:c>
      <x:c r="F61" s="95" t="str">
        <x:v>Delivery</x:v>
      </x:c>
      <x:c r="G61" s="95" t="str">
        <x:v>timeframe</x:v>
      </x:c>
      <x:c r="H61" s="98" t="n">
        <x:v>46023.493055555555</x:v>
      </x:c>
      <x:c r="I61" s="98" t="n">
        <x:v>46023.503599537034</x:v>
      </x:c>
      <x:c r="J61" s="95" t="str">
        <x:v>Thu</x:v>
      </x:c>
      <x:c r="K61" s="95" t="n">
        <x:v>1</x:v>
      </x:c>
      <x:c r="L61" s="95" t="str">
        <x:v>Completed</x:v>
      </x:c>
      <x:c r="M61" s="95" t="str">
        <x:v>Goods Cage</x:v>
      </x:c>
      <x:c r="N61" s="95" t="str">
        <x:v>D49-STORES</x:v>
      </x:c>
      <x:c r="O61" s="95" t="str">
        <x:v>D29-DROP-ZONE</x:v>
      </x:c>
      <x:c r="P61" s="95" t="str">
        <x:v>D29-STORES</x:v>
      </x:c>
      <x:c r="Q61" s="95" t="str">
        <x:v>Staff final delivery arrival</x:v>
      </x:c>
      <x:c r="R61" s="98" t="n">
        <x:v>46023.50299768519</x:v>
      </x:c>
      <x:c r="S61" s="95" t="str">
        <x:v>Generated timeframe stores task 2/3; spaced across staff hours 06:00-16:00; due by 16:00; AMR drop-off zone=D29-DROP-ZONE; final destination=D29-STORES</x:v>
      </x:c>
    </x:row>
    <x:row r="62" ht="42" customHeight="1">
      <x:c r="A62" s="95" t="str">
        <x:v>GEN_STORES_D29_00164</x:v>
      </x:c>
      <x:c r="B62" s="95" t="str"/>
      <x:c r="C62" s="95" t="str">
        <x:v>D29</x:v>
      </x:c>
      <x:c r="D62" s="95" t="str">
        <x:v>Paediatric Inpatients</x:v>
      </x:c>
      <x:c r="E62" s="95" t="str">
        <x:v>L03</x:v>
      </x:c>
      <x:c r="F62" s="95" t="str">
        <x:v>Delivery</x:v>
      </x:c>
      <x:c r="G62" s="95" t="str">
        <x:v>timeframe</x:v>
      </x:c>
      <x:c r="H62" s="98" t="n">
        <x:v>46023.52777777778</x:v>
      </x:c>
      <x:c r="I62" s="98" t="n">
        <x:v>46023.534895833334</x:v>
      </x:c>
      <x:c r="J62" s="95" t="str">
        <x:v>Thu</x:v>
      </x:c>
      <x:c r="K62" s="95" t="n">
        <x:v>1</x:v>
      </x:c>
      <x:c r="L62" s="95" t="str">
        <x:v>Completed</x:v>
      </x:c>
      <x:c r="M62" s="95" t="str">
        <x:v>Goods Cage</x:v>
      </x:c>
      <x:c r="N62" s="95" t="str">
        <x:v>D49-STORES</x:v>
      </x:c>
      <x:c r="O62" s="95" t="str">
        <x:v>D29-DROP-ZONE</x:v>
      </x:c>
      <x:c r="P62" s="95" t="str">
        <x:v>D29-STORES</x:v>
      </x:c>
      <x:c r="Q62" s="95" t="str">
        <x:v>Staff final delivery arrival</x:v>
      </x:c>
      <x:c r="R62" s="98" t="n">
        <x:v>46023.53429398148</x:v>
      </x:c>
      <x:c r="S62" s="95" t="str">
        <x:v>Generated timeframe stores task 3/3; spaced across staff hours 06:00-16:00; due by 16:00; AMR drop-off zone=D29-DROP-ZONE; final destination=D29-STORES</x:v>
      </x:c>
    </x:row>
    <x:row r="63" ht="42" customHeight="1">
      <x:c r="A63" s="95" t="str">
        <x:v>GEN_STORES_D2_01143</x:v>
      </x:c>
      <x:c r="B63" s="95" t="str"/>
      <x:c r="C63" s="95" t="str">
        <x:v>D2</x:v>
      </x:c>
      <x:c r="D63" s="95" t="str">
        <x:v>SDEC</x:v>
      </x:c>
      <x:c r="E63" s="95" t="str">
        <x:v>L00</x:v>
      </x:c>
      <x:c r="F63" s="95" t="str">
        <x:v>Delivery</x:v>
      </x:c>
      <x:c r="G63" s="95" t="str">
        <x:v>timeframe</x:v>
      </x:c>
      <x:c r="H63" s="98" t="n">
        <x:v>46027.51515046296</x:v>
      </x:c>
      <x:c r="I63" s="98" t="n">
        <x:v>46027.523622685185</x:v>
      </x:c>
      <x:c r="J63" s="95" t="str">
        <x:v>Mon</x:v>
      </x:c>
      <x:c r="K63" s="95" t="n">
        <x:v>1</x:v>
      </x:c>
      <x:c r="L63" s="95" t="str">
        <x:v>Completed</x:v>
      </x:c>
      <x:c r="M63" s="95" t="str">
        <x:v>Goods Cage</x:v>
      </x:c>
      <x:c r="N63" s="95" t="str">
        <x:v>D49-STORES</x:v>
      </x:c>
      <x:c r="O63" s="95" t="str">
        <x:v>D3-DROP-ZONE</x:v>
      </x:c>
      <x:c r="P63" s="95" t="str">
        <x:v>D2-STORES</x:v>
      </x:c>
      <x:c r="Q63" s="95" t="str">
        <x:v>Staff final delivery arrival</x:v>
      </x:c>
      <x:c r="R63" s="98" t="n">
        <x:v>46027.523206018515</x:v>
      </x:c>
      <x:c r="S63" s="95" t="str">
        <x:v>Generated timeframe stores task 1/3; spaced across staff hours 08:00-16:00; due by 16:00; AMR drop-off zone=D3-DROP-ZONE; final destination=D2-STORES</x:v>
      </x:c>
    </x:row>
    <x:row r="64" ht="42" customHeight="1">
      <x:c r="A64" s="95" t="str">
        <x:v>GEN_STORES_D2_01163</x:v>
      </x:c>
      <x:c r="B64" s="95" t="str"/>
      <x:c r="C64" s="95" t="str">
        <x:v>D2</x:v>
      </x:c>
      <x:c r="D64" s="95" t="str">
        <x:v>SDEC</x:v>
      </x:c>
      <x:c r="E64" s="95" t="str">
        <x:v>L00</x:v>
      </x:c>
      <x:c r="F64" s="95" t="str">
        <x:v>Delivery</x:v>
      </x:c>
      <x:c r="G64" s="95" t="str">
        <x:v>timeframe</x:v>
      </x:c>
      <x:c r="H64" s="98" t="n">
        <x:v>46027.525243055556</x:v>
      </x:c>
      <x:c r="I64" s="98" t="n">
        <x:v>46027.63415509259</x:v>
      </x:c>
      <x:c r="J64" s="95" t="str">
        <x:v>Mon</x:v>
      </x:c>
      <x:c r="K64" s="95" t="n">
        <x:v>1</x:v>
      </x:c>
      <x:c r="L64" s="95" t="str">
        <x:v>Completed</x:v>
      </x:c>
      <x:c r="M64" s="95" t="str">
        <x:v>Goods Cage</x:v>
      </x:c>
      <x:c r="N64" s="95" t="str">
        <x:v>D49-STORES</x:v>
      </x:c>
      <x:c r="O64" s="95" t="str">
        <x:v>D3-DROP-ZONE</x:v>
      </x:c>
      <x:c r="P64" s="95" t="str">
        <x:v>D2-STORES</x:v>
      </x:c>
      <x:c r="Q64" s="95" t="str">
        <x:v>Staff final delivery arrival</x:v>
      </x:c>
      <x:c r="R64" s="98" t="n">
        <x:v>46027.633738425924</x:v>
      </x:c>
      <x:c r="S64" s="95" t="str">
        <x:v>Generated timeframe stores task 2/3; spaced across staff hours 08:00-16:00; due by 16:00; AMR drop-off zone=D3-DROP-ZONE; final destination=D2-STORES</x:v>
      </x:c>
    </x:row>
    <x:row r="65" ht="42" customHeight="1">
      <x:c r="A65" s="95" t="str">
        <x:v>GEN_STORES_D2_01165</x:v>
      </x:c>
      <x:c r="B65" s="95" t="str"/>
      <x:c r="C65" s="95" t="str">
        <x:v>D2</x:v>
      </x:c>
      <x:c r="D65" s="95" t="str">
        <x:v>SDEC</x:v>
      </x:c>
      <x:c r="E65" s="95" t="str">
        <x:v>L00</x:v>
      </x:c>
      <x:c r="F65" s="95" t="str">
        <x:v>Delivery</x:v>
      </x:c>
      <x:c r="G65" s="95" t="str">
        <x:v>timeframe</x:v>
      </x:c>
      <x:c r="H65" s="98" t="n">
        <x:v>46027.53534722222</x:v>
      </x:c>
      <x:c r="I65" s="98" t="n">
        <x:v>46027.6365625</x:v>
      </x:c>
      <x:c r="J65" s="95" t="str">
        <x:v>Mon</x:v>
      </x:c>
      <x:c r="K65" s="95" t="n">
        <x:v>1</x:v>
      </x:c>
      <x:c r="L65" s="95" t="str">
        <x:v>Completed</x:v>
      </x:c>
      <x:c r="M65" s="95" t="str">
        <x:v>Goods Cage</x:v>
      </x:c>
      <x:c r="N65" s="95" t="str">
        <x:v>D49-STORES</x:v>
      </x:c>
      <x:c r="O65" s="95" t="str">
        <x:v>D3-DROP-ZONE</x:v>
      </x:c>
      <x:c r="P65" s="95" t="str">
        <x:v>D2-STORES</x:v>
      </x:c>
      <x:c r="Q65" s="95" t="str">
        <x:v>Staff final delivery arrival</x:v>
      </x:c>
      <x:c r="R65" s="98" t="n">
        <x:v>46027.636145833334</x:v>
      </x:c>
      <x:c r="S65" s="95" t="str">
        <x:v>Generated timeframe stores task 3/3; spaced across staff hours 08:00-16:00; due by 16:00; AMR drop-off zone=D3-DROP-ZONE; final destination=D2-STORES</x:v>
      </x:c>
    </x:row>
    <x:row r="66" ht="42" customHeight="1">
      <x:c r="A66" s="95" t="str">
        <x:v>GEN_STORES_D30_01849</x:v>
      </x:c>
      <x:c r="B66" s="95" t="str"/>
      <x:c r="C66" s="95" t="str">
        <x:v>D30</x:v>
      </x:c>
      <x:c r="D66" s="95" t="str">
        <x:v>Maternity Inpatients</x:v>
      </x:c>
      <x:c r="E66" s="95" t="str">
        <x:v>L03</x:v>
      </x:c>
      <x:c r="F66" s="95" t="str">
        <x:v>Delivery</x:v>
      </x:c>
      <x:c r="G66" s="95" t="str">
        <x:v>timeframe</x:v>
      </x:c>
      <x:c r="H66" s="98" t="n">
        <x:v>46029.460648148146</x:v>
      </x:c>
      <x:c r="I66" s="98" t="n">
        <x:v>46029.468298611115</x:v>
      </x:c>
      <x:c r="J66" s="95" t="str">
        <x:v>Wed</x:v>
      </x:c>
      <x:c r="K66" s="95" t="n">
        <x:v>1</x:v>
      </x:c>
      <x:c r="L66" s="95" t="str">
        <x:v>Completed</x:v>
      </x:c>
      <x:c r="M66" s="95" t="str">
        <x:v>Goods Cage</x:v>
      </x:c>
      <x:c r="N66" s="95" t="str">
        <x:v>D49-STORES</x:v>
      </x:c>
      <x:c r="O66" s="95" t="str">
        <x:v>D29-DROP-ZONE</x:v>
      </x:c>
      <x:c r="P66" s="95" t="str">
        <x:v>D30-STORES</x:v>
      </x:c>
      <x:c r="Q66" s="95" t="str">
        <x:v>Staff final delivery arrival</x:v>
      </x:c>
      <x:c r="R66" s="98" t="n">
        <x:v>46029.46787037037</x:v>
      </x:c>
      <x:c r="S66" s="95" t="str">
        <x:v>Generated timeframe stores task 1/3; spaced across staff hours 06:00-16:00; due by 16:00; AMR drop-off zone=D29-DROP-ZONE; final destination=D30-STORES</x:v>
      </x:c>
    </x:row>
    <x:row r="67" ht="42" customHeight="1">
      <x:c r="A67" s="95" t="str">
        <x:v>GEN_STORES_D30_01871</x:v>
      </x:c>
      <x:c r="B67" s="95" t="str"/>
      <x:c r="C67" s="95" t="str">
        <x:v>D30</x:v>
      </x:c>
      <x:c r="D67" s="95" t="str">
        <x:v>Maternity Inpatients</x:v>
      </x:c>
      <x:c r="E67" s="95" t="str">
        <x:v>L03</x:v>
      </x:c>
      <x:c r="F67" s="95" t="str">
        <x:v>Delivery</x:v>
      </x:c>
      <x:c r="G67" s="95" t="str">
        <x:v>timeframe</x:v>
      </x:c>
      <x:c r="H67" s="98" t="n">
        <x:v>46029.48148148148</x:v>
      </x:c>
      <x:c r="I67" s="98" t="n">
        <x:v>46029.49277777778</x:v>
      </x:c>
      <x:c r="J67" s="95" t="str">
        <x:v>Wed</x:v>
      </x:c>
      <x:c r="K67" s="95" t="n">
        <x:v>1</x:v>
      </x:c>
      <x:c r="L67" s="95" t="str">
        <x:v>Completed</x:v>
      </x:c>
      <x:c r="M67" s="95" t="str">
        <x:v>Goods Cage</x:v>
      </x:c>
      <x:c r="N67" s="95" t="str">
        <x:v>D49-STORES</x:v>
      </x:c>
      <x:c r="O67" s="95" t="str">
        <x:v>D29-DROP-ZONE</x:v>
      </x:c>
      <x:c r="P67" s="95" t="str">
        <x:v>D30-STORES</x:v>
      </x:c>
      <x:c r="Q67" s="95" t="str">
        <x:v>Staff final delivery arrival</x:v>
      </x:c>
      <x:c r="R67" s="98" t="n">
        <x:v>46029.49234953704</x:v>
      </x:c>
      <x:c r="S67" s="95" t="str">
        <x:v>Generated timeframe stores task 2/3; spaced across staff hours 06:00-16:00; due by 16:00; AMR drop-off zone=D29-DROP-ZONE; final destination=D30-STORES</x:v>
      </x:c>
    </x:row>
    <x:row r="68" ht="42" customHeight="1">
      <x:c r="A68" s="95" t="str">
        <x:v>GEN_STORES_D30_01872</x:v>
      </x:c>
      <x:c r="B68" s="95" t="str"/>
      <x:c r="C68" s="95" t="str">
        <x:v>D30</x:v>
      </x:c>
      <x:c r="D68" s="95" t="str">
        <x:v>Maternity Inpatients</x:v>
      </x:c>
      <x:c r="E68" s="95" t="str">
        <x:v>L03</x:v>
      </x:c>
      <x:c r="F68" s="95" t="str">
        <x:v>Delivery</x:v>
      </x:c>
      <x:c r="G68" s="95" t="str">
        <x:v>timeframe</x:v>
      </x:c>
      <x:c r="H68" s="98" t="n">
        <x:v>46029.50462962963</x:v>
      </x:c>
      <x:c r="I68" s="98" t="n">
        <x:v>46029.51388888889</x:v>
      </x:c>
      <x:c r="J68" s="95" t="str">
        <x:v>Wed</x:v>
      </x:c>
      <x:c r="K68" s="95" t="n">
        <x:v>1</x:v>
      </x:c>
      <x:c r="L68" s="95" t="str">
        <x:v>Completed</x:v>
      </x:c>
      <x:c r="M68" s="95" t="str">
        <x:v>Goods Cage</x:v>
      </x:c>
      <x:c r="N68" s="95" t="str">
        <x:v>D49-STORES</x:v>
      </x:c>
      <x:c r="O68" s="95" t="str">
        <x:v>D29-DROP-ZONE</x:v>
      </x:c>
      <x:c r="P68" s="95" t="str">
        <x:v>D30-STORES</x:v>
      </x:c>
      <x:c r="Q68" s="95" t="str">
        <x:v>Staff final delivery arrival</x:v>
      </x:c>
      <x:c r="R68" s="98" t="n">
        <x:v>46029.51346064815</x:v>
      </x:c>
      <x:c r="S68" s="95" t="str">
        <x:v>Generated timeframe stores task 3/3; spaced across staff hours 06:00-16:00; due by 16:00; AMR drop-off zone=D29-DROP-ZONE; final destination=D30-STORES</x:v>
      </x:c>
    </x:row>
    <x:row r="69" ht="42" customHeight="1">
      <x:c r="A69" s="95" t="str">
        <x:v>GEN_STORES_D31_00165</x:v>
      </x:c>
      <x:c r="B69" s="95" t="str"/>
      <x:c r="C69" s="95" t="str">
        <x:v>D31</x:v>
      </x:c>
      <x:c r="D69" s="95" t="str">
        <x:v>Adult Inpatients 1</x:v>
      </x:c>
      <x:c r="E69" s="95" t="str">
        <x:v>L03</x:v>
      </x:c>
      <x:c r="F69" s="95" t="str">
        <x:v>Delivery</x:v>
      </x:c>
      <x:c r="G69" s="95" t="str">
        <x:v>timeframe</x:v>
      </x:c>
      <x:c r="H69" s="98" t="n">
        <x:v>46023.5625</x:v>
      </x:c>
      <x:c r="I69" s="98" t="n">
        <x:v>46023.56543981482</x:v>
      </x:c>
      <x:c r="J69" s="95" t="str">
        <x:v>Thu</x:v>
      </x:c>
      <x:c r="K69" s="95" t="n">
        <x:v>1</x:v>
      </x:c>
      <x:c r="L69" s="95" t="str">
        <x:v>Completed</x:v>
      </x:c>
      <x:c r="M69" s="95" t="str">
        <x:v>Goods Cage</x:v>
      </x:c>
      <x:c r="N69" s="95" t="str">
        <x:v>D49-STORES</x:v>
      </x:c>
      <x:c r="O69" s="95" t="str">
        <x:v>D32-DROP-ZONE</x:v>
      </x:c>
      <x:c r="P69" s="95" t="str">
        <x:v>D31-STORES</x:v>
      </x:c>
      <x:c r="Q69" s="95" t="str">
        <x:v>Staff final delivery arrival</x:v>
      </x:c>
      <x:c r="R69" s="98" t="n">
        <x:v>46023.56494212963</x:v>
      </x:c>
      <x:c r="S69" s="95" t="str">
        <x:v>Generated timeframe stores task 1/3; spaced across staff hours 06:00-16:00; due by 16:00; AMR drop-off zone=D32-DROP-ZONE; final destination=D31-STORES</x:v>
      </x:c>
    </x:row>
    <x:row r="70" ht="42" customHeight="1">
      <x:c r="A70" s="95" t="str">
        <x:v>GEN_STORES_D31_00168</x:v>
      </x:c>
      <x:c r="B70" s="95" t="str"/>
      <x:c r="C70" s="95" t="str">
        <x:v>D31</x:v>
      </x:c>
      <x:c r="D70" s="95" t="str">
        <x:v>Adult Inpatients 1</x:v>
      </x:c>
      <x:c r="E70" s="95" t="str">
        <x:v>L03</x:v>
      </x:c>
      <x:c r="F70" s="95" t="str">
        <x:v>Delivery</x:v>
      </x:c>
      <x:c r="G70" s="95" t="str">
        <x:v>timeframe</x:v>
      </x:c>
      <x:c r="H70" s="98" t="n">
        <x:v>46023.59722222222</x:v>
      </x:c>
      <x:c r="I70" s="98" t="n">
        <x:v>46023.607141203705</x:v>
      </x:c>
      <x:c r="J70" s="95" t="str">
        <x:v>Thu</x:v>
      </x:c>
      <x:c r="K70" s="95" t="n">
        <x:v>1</x:v>
      </x:c>
      <x:c r="L70" s="95" t="str">
        <x:v>Completed</x:v>
      </x:c>
      <x:c r="M70" s="95" t="str">
        <x:v>Goods Cage</x:v>
      </x:c>
      <x:c r="N70" s="95" t="str">
        <x:v>D49-STORES</x:v>
      </x:c>
      <x:c r="O70" s="95" t="str">
        <x:v>D32-DROP-ZONE</x:v>
      </x:c>
      <x:c r="P70" s="95" t="str">
        <x:v>D31-STORES</x:v>
      </x:c>
      <x:c r="Q70" s="95" t="str">
        <x:v>Staff final delivery arrival</x:v>
      </x:c>
      <x:c r="R70" s="98" t="n">
        <x:v>46023.60663194444</x:v>
      </x:c>
      <x:c r="S70" s="95" t="str">
        <x:v>Generated timeframe stores task 2/3; spaced across staff hours 06:00-16:00; due by 16:00; AMR drop-off zone=D32-DROP-ZONE; final destination=D31-STORES</x:v>
      </x:c>
    </x:row>
    <x:row r="71" ht="42" customHeight="1">
      <x:c r="A71" s="95" t="str">
        <x:v>GEN_STORES_D31_00178</x:v>
      </x:c>
      <x:c r="B71" s="95" t="str"/>
      <x:c r="C71" s="95" t="str">
        <x:v>D31</x:v>
      </x:c>
      <x:c r="D71" s="95" t="str">
        <x:v>Adult Inpatients 1</x:v>
      </x:c>
      <x:c r="E71" s="95" t="str">
        <x:v>L03</x:v>
      </x:c>
      <x:c r="F71" s="95" t="str">
        <x:v>Delivery</x:v>
      </x:c>
      <x:c r="G71" s="95" t="str">
        <x:v>timeframe</x:v>
      </x:c>
      <x:c r="H71" s="98" t="n">
        <x:v>46023.631944444445</x:v>
      </x:c>
      <x:c r="I71" s="98" t="n">
        <x:v>46023.638333333336</x:v>
      </x:c>
      <x:c r="J71" s="95" t="str">
        <x:v>Thu</x:v>
      </x:c>
      <x:c r="K71" s="95" t="n">
        <x:v>1</x:v>
      </x:c>
      <x:c r="L71" s="95" t="str">
        <x:v>Completed</x:v>
      </x:c>
      <x:c r="M71" s="95" t="str">
        <x:v>Goods Cage</x:v>
      </x:c>
      <x:c r="N71" s="95" t="str">
        <x:v>D49-STORES</x:v>
      </x:c>
      <x:c r="O71" s="95" t="str">
        <x:v>D32-DROP-ZONE</x:v>
      </x:c>
      <x:c r="P71" s="95" t="str">
        <x:v>D31-STORES</x:v>
      </x:c>
      <x:c r="Q71" s="95" t="str">
        <x:v>Staff final delivery arrival</x:v>
      </x:c>
      <x:c r="R71" s="98" t="n">
        <x:v>46023.637824074074</x:v>
      </x:c>
      <x:c r="S71" s="95" t="str">
        <x:v>Generated timeframe stores task 3/3; spaced across staff hours 06:00-16:00; due by 16:00; AMR drop-off zone=D32-DROP-ZONE; final destination=D31-STORES</x:v>
      </x:c>
    </x:row>
    <x:row r="72" ht="42" customHeight="1">
      <x:c r="A72" s="95" t="str">
        <x:v>GEN_STORES_D32_00413</x:v>
      </x:c>
      <x:c r="B72" s="95" t="str"/>
      <x:c r="C72" s="95" t="str">
        <x:v>D32</x:v>
      </x:c>
      <x:c r="D72" s="95" t="str">
        <x:v>Adult Inpatients 2</x:v>
      </x:c>
      <x:c r="E72" s="95" t="str">
        <x:v>L03</x:v>
      </x:c>
      <x:c r="F72" s="95" t="str">
        <x:v>Delivery</x:v>
      </x:c>
      <x:c r="G72" s="95" t="str">
        <x:v>timeframe</x:v>
      </x:c>
      <x:c r="H72" s="98" t="n">
        <x:v>46024.428564814814</x:v>
      </x:c>
      <x:c r="I72" s="98" t="n">
        <x:v>46024.44050925926</x:v>
      </x:c>
      <x:c r="J72" s="95" t="str">
        <x:v>Fri</x:v>
      </x:c>
      <x:c r="K72" s="95" t="n">
        <x:v>1</x:v>
      </x:c>
      <x:c r="L72" s="95" t="str">
        <x:v>Completed</x:v>
      </x:c>
      <x:c r="M72" s="95" t="str">
        <x:v>Goods Cage</x:v>
      </x:c>
      <x:c r="N72" s="95" t="str">
        <x:v>D49-STORES</x:v>
      </x:c>
      <x:c r="O72" s="95" t="str">
        <x:v>D32-DROP-ZONE</x:v>
      </x:c>
      <x:c r="P72" s="95" t="str">
        <x:v>D31-STORES</x:v>
      </x:c>
      <x:c r="Q72" s="95" t="str">
        <x:v>Staff final delivery arrival</x:v>
      </x:c>
      <x:c r="R72" s="98" t="n">
        <x:v>46024.44001157407</x:v>
      </x:c>
      <x:c r="S72" s="95" t="str">
        <x:v>Generated timeframe stores task 1/3; spaced across staff hours 06:00-16:00; due by 16:00; AMR drop-off zone=D32-DROP-ZONE; final destination=D31-STORES</x:v>
      </x:c>
    </x:row>
    <x:row r="73" ht="42" customHeight="1">
      <x:c r="A73" s="95" t="str">
        <x:v>GEN_STORES_D32_00435</x:v>
      </x:c>
      <x:c r="B73" s="95" t="str"/>
      <x:c r="C73" s="95" t="str">
        <x:v>D32</x:v>
      </x:c>
      <x:c r="D73" s="95" t="str">
        <x:v>Adult Inpatients 2</x:v>
      </x:c>
      <x:c r="E73" s="95" t="str">
        <x:v>L03</x:v>
      </x:c>
      <x:c r="F73" s="95" t="str">
        <x:v>Delivery</x:v>
      </x:c>
      <x:c r="G73" s="95" t="str">
        <x:v>timeframe</x:v>
      </x:c>
      <x:c r="H73" s="98" t="n">
        <x:v>46024.44840277778</x:v>
      </x:c>
      <x:c r="I73" s="98" t="n">
        <x:v>46024.46194444445</x:v>
      </x:c>
      <x:c r="J73" s="95" t="str">
        <x:v>Fri</x:v>
      </x:c>
      <x:c r="K73" s="95" t="n">
        <x:v>1</x:v>
      </x:c>
      <x:c r="L73" s="95" t="str">
        <x:v>Completed</x:v>
      </x:c>
      <x:c r="M73" s="95" t="str">
        <x:v>Goods Cage</x:v>
      </x:c>
      <x:c r="N73" s="95" t="str">
        <x:v>D49-STORES</x:v>
      </x:c>
      <x:c r="O73" s="95" t="str">
        <x:v>D32-DROP-ZONE</x:v>
      </x:c>
      <x:c r="P73" s="95" t="str">
        <x:v>D32-STORES</x:v>
      </x:c>
      <x:c r="Q73" s="95" t="str">
        <x:v>Staff final delivery arrival</x:v>
      </x:c>
      <x:c r="R73" s="98" t="n">
        <x:v>46024.461435185185</x:v>
      </x:c>
      <x:c r="S73" s="95" t="str">
        <x:v>Generated timeframe stores task 2/3; spaced across staff hours 06:00-16:00; due by 16:00; AMR drop-off zone=D32-DROP-ZONE; final destination=D32-STORES</x:v>
      </x:c>
    </x:row>
    <x:row r="74" ht="42" customHeight="1">
      <x:c r="A74" s="95" t="str">
        <x:v>GEN_STORES_D32_00437</x:v>
      </x:c>
      <x:c r="B74" s="95" t="str"/>
      <x:c r="C74" s="95" t="str">
        <x:v>D32</x:v>
      </x:c>
      <x:c r="D74" s="95" t="str">
        <x:v>Adult Inpatients 2</x:v>
      </x:c>
      <x:c r="E74" s="95" t="str">
        <x:v>L03</x:v>
      </x:c>
      <x:c r="F74" s="95" t="str">
        <x:v>Delivery</x:v>
      </x:c>
      <x:c r="G74" s="95" t="str">
        <x:v>timeframe</x:v>
      </x:c>
      <x:c r="H74" s="98" t="n">
        <x:v>46024.468252314815</x:v>
      </x:c>
      <x:c r="I74" s="98" t="n">
        <x:v>46024.474641203706</x:v>
      </x:c>
      <x:c r="J74" s="95" t="str">
        <x:v>Fri</x:v>
      </x:c>
      <x:c r="K74" s="95" t="n">
        <x:v>1</x:v>
      </x:c>
      <x:c r="L74" s="95" t="str">
        <x:v>Completed</x:v>
      </x:c>
      <x:c r="M74" s="95" t="str">
        <x:v>Goods Cage</x:v>
      </x:c>
      <x:c r="N74" s="95" t="str">
        <x:v>D49-STORES</x:v>
      </x:c>
      <x:c r="O74" s="95" t="str">
        <x:v>D32-DROP-ZONE</x:v>
      </x:c>
      <x:c r="P74" s="95" t="str">
        <x:v>D31-STORES</x:v>
      </x:c>
      <x:c r="Q74" s="95" t="str">
        <x:v>Staff final delivery arrival</x:v>
      </x:c>
      <x:c r="R74" s="98" t="n">
        <x:v>46024.474131944444</x:v>
      </x:c>
      <x:c r="S74" s="95" t="str">
        <x:v>Generated timeframe stores task 3/3; spaced across staff hours 06:00-16:00; due by 16:00; AMR drop-off zone=D32-DROP-ZONE; final destination=D31-STORES</x:v>
      </x:c>
    </x:row>
    <x:row r="75" ht="42" customHeight="1">
      <x:c r="A75" s="95" t="str">
        <x:v>GEN_STORES_D33_00456</x:v>
      </x:c>
      <x:c r="B75" s="95" t="str"/>
      <x:c r="C75" s="95" t="str">
        <x:v>D33</x:v>
      </x:c>
      <x:c r="D75" s="95" t="str">
        <x:v>Adult Inpatients 3</x:v>
      </x:c>
      <x:c r="E75" s="95" t="str">
        <x:v>L03</x:v>
      </x:c>
      <x:c r="F75" s="95" t="str">
        <x:v>Delivery</x:v>
      </x:c>
      <x:c r="G75" s="95" t="str">
        <x:v>timeframe</x:v>
      </x:c>
      <x:c r="H75" s="98" t="n">
        <x:v>46024.48809027778</x:v>
      </x:c>
      <x:c r="I75" s="98" t="n">
        <x:v>46024.492789351854</x:v>
      </x:c>
      <x:c r="J75" s="95" t="str">
        <x:v>Fri</x:v>
      </x:c>
      <x:c r="K75" s="95" t="n">
        <x:v>1</x:v>
      </x:c>
      <x:c r="L75" s="95" t="str">
        <x:v>Completed</x:v>
      </x:c>
      <x:c r="M75" s="95" t="str">
        <x:v>Goods Cage</x:v>
      </x:c>
      <x:c r="N75" s="95" t="str">
        <x:v>D49-STORES</x:v>
      </x:c>
      <x:c r="O75" s="95" t="str">
        <x:v>D33-DROP-ZONE</x:v>
      </x:c>
      <x:c r="P75" s="95" t="str">
        <x:v>D33-STORES</x:v>
      </x:c>
      <x:c r="Q75" s="95" t="str">
        <x:v>Staff final delivery arrival</x:v>
      </x:c>
      <x:c r="R75" s="98" t="n">
        <x:v>46024.49232638889</x:v>
      </x:c>
      <x:c r="S75" s="95" t="str">
        <x:v>Generated timeframe stores task 1/3; spaced across staff hours 06:00-16:00; due by 16:00; AMR drop-off zone=D33-DROP-ZONE; final destination=D33-STORES</x:v>
      </x:c>
    </x:row>
    <x:row r="76" ht="42" customHeight="1">
      <x:c r="A76" s="95" t="str">
        <x:v>GEN_STORES_D33_00458</x:v>
      </x:c>
      <x:c r="B76" s="95" t="str"/>
      <x:c r="C76" s="95" t="str">
        <x:v>D33</x:v>
      </x:c>
      <x:c r="D76" s="95" t="str">
        <x:v>Adult Inpatients 3</x:v>
      </x:c>
      <x:c r="E76" s="95" t="str">
        <x:v>L03</x:v>
      </x:c>
      <x:c r="F76" s="95" t="str">
        <x:v>Delivery</x:v>
      </x:c>
      <x:c r="G76" s="95" t="str">
        <x:v>timeframe</x:v>
      </x:c>
      <x:c r="H76" s="98" t="n">
        <x:v>46024.50792824074</x:v>
      </x:c>
      <x:c r="I76" s="98" t="n">
        <x:v>46024.51373842593</x:v>
      </x:c>
      <x:c r="J76" s="95" t="str">
        <x:v>Fri</x:v>
      </x:c>
      <x:c r="K76" s="95" t="n">
        <x:v>1</x:v>
      </x:c>
      <x:c r="L76" s="95" t="str">
        <x:v>Completed</x:v>
      </x:c>
      <x:c r="M76" s="95" t="str">
        <x:v>Goods Cage</x:v>
      </x:c>
      <x:c r="N76" s="95" t="str">
        <x:v>D49-STORES</x:v>
      </x:c>
      <x:c r="O76" s="95" t="str">
        <x:v>D33-DROP-ZONE</x:v>
      </x:c>
      <x:c r="P76" s="95" t="str">
        <x:v>D33-STORES</x:v>
      </x:c>
      <x:c r="Q76" s="95" t="str">
        <x:v>Staff final delivery arrival</x:v>
      </x:c>
      <x:c r="R76" s="98" t="n">
        <x:v>46024.51327546296</x:v>
      </x:c>
      <x:c r="S76" s="95" t="str">
        <x:v>Generated timeframe stores task 2/3; spaced across staff hours 06:00-16:00; due by 16:00; AMR drop-off zone=D33-DROP-ZONE; final destination=D33-STORES</x:v>
      </x:c>
    </x:row>
    <x:row r="77" ht="42" customHeight="1">
      <x:c r="A77" s="95" t="str">
        <x:v>GEN_STORES_D33_00477</x:v>
      </x:c>
      <x:c r="B77" s="95" t="str"/>
      <x:c r="C77" s="95" t="str">
        <x:v>D33</x:v>
      </x:c>
      <x:c r="D77" s="95" t="str">
        <x:v>Adult Inpatients 3</x:v>
      </x:c>
      <x:c r="E77" s="95" t="str">
        <x:v>L03</x:v>
      </x:c>
      <x:c r="F77" s="95" t="str">
        <x:v>Delivery</x:v>
      </x:c>
      <x:c r="G77" s="95" t="str">
        <x:v>timeframe</x:v>
      </x:c>
      <x:c r="H77" s="98" t="n">
        <x:v>46024.52777777778</x:v>
      </x:c>
      <x:c r="I77" s="98" t="n">
        <x:v>46024.536412037036</x:v>
      </x:c>
      <x:c r="J77" s="95" t="str">
        <x:v>Fri</x:v>
      </x:c>
      <x:c r="K77" s="95" t="n">
        <x:v>1</x:v>
      </x:c>
      <x:c r="L77" s="95" t="str">
        <x:v>Completed</x:v>
      </x:c>
      <x:c r="M77" s="95" t="str">
        <x:v>Goods Cage</x:v>
      </x:c>
      <x:c r="N77" s="95" t="str">
        <x:v>D49-STORES</x:v>
      </x:c>
      <x:c r="O77" s="95" t="str">
        <x:v>D33-DROP-ZONE</x:v>
      </x:c>
      <x:c r="P77" s="95" t="str">
        <x:v>D33-STORES</x:v>
      </x:c>
      <x:c r="Q77" s="95" t="str">
        <x:v>Staff final delivery arrival</x:v>
      </x:c>
      <x:c r="R77" s="98" t="n">
        <x:v>46024.535949074074</x:v>
      </x:c>
      <x:c r="S77" s="95" t="str">
        <x:v>Generated timeframe stores task 3/3; spaced across staff hours 06:00-16:00; due by 16:00; AMR drop-off zone=D33-DROP-ZONE; final destination=D33-STORES</x:v>
      </x:c>
    </x:row>
    <x:row r="78" ht="42" customHeight="1">
      <x:c r="A78" s="95" t="str">
        <x:v>GEN_STORES_D34_00478</x:v>
      </x:c>
      <x:c r="B78" s="95" t="str"/>
      <x:c r="C78" s="95" t="str">
        <x:v>D34</x:v>
      </x:c>
      <x:c r="D78" s="95" t="str">
        <x:v>Adult Inpatients 4</x:v>
      </x:c>
      <x:c r="E78" s="95" t="str">
        <x:v>L03</x:v>
      </x:c>
      <x:c r="F78" s="95" t="str">
        <x:v>Delivery</x:v>
      </x:c>
      <x:c r="G78" s="95" t="str">
        <x:v>timeframe</x:v>
      </x:c>
      <x:c r="H78" s="98" t="n">
        <x:v>46024.54761574074</x:v>
      </x:c>
      <x:c r="I78" s="98" t="n">
        <x:v>46024.55540509259</x:v>
      </x:c>
      <x:c r="J78" s="95" t="str">
        <x:v>Fri</x:v>
      </x:c>
      <x:c r="K78" s="95" t="n">
        <x:v>1</x:v>
      </x:c>
      <x:c r="L78" s="95" t="str">
        <x:v>Completed</x:v>
      </x:c>
      <x:c r="M78" s="95" t="str">
        <x:v>Goods Cage</x:v>
      </x:c>
      <x:c r="N78" s="95" t="str">
        <x:v>D49-STORES</x:v>
      </x:c>
      <x:c r="O78" s="95" t="str">
        <x:v>D33-DROP-ZONE</x:v>
      </x:c>
      <x:c r="P78" s="95" t="str">
        <x:v>D34-STORES</x:v>
      </x:c>
      <x:c r="Q78" s="95" t="str">
        <x:v>Staff final delivery arrival</x:v>
      </x:c>
      <x:c r="R78" s="98" t="n">
        <x:v>46024.55489583333</x:v>
      </x:c>
      <x:c r="S78" s="95" t="str">
        <x:v>Generated timeframe stores task 1/3; spaced across staff hours 06:00-16:00; due by 16:00; AMR drop-off zone=D33-DROP-ZONE; final destination=D33-STORES</x:v>
      </x:c>
    </x:row>
    <x:row r="79" ht="42" customHeight="1">
      <x:c r="A79" s="95" t="str">
        <x:v>GEN_STORES_D34_00480</x:v>
      </x:c>
      <x:c r="B79" s="95" t="str"/>
      <x:c r="C79" s="95" t="str">
        <x:v>D34</x:v>
      </x:c>
      <x:c r="D79" s="95" t="str">
        <x:v>Adult Inpatients 4</x:v>
      </x:c>
      <x:c r="E79" s="95" t="str">
        <x:v>L03</x:v>
      </x:c>
      <x:c r="F79" s="95" t="str">
        <x:v>Delivery</x:v>
      </x:c>
      <x:c r="G79" s="95" t="str">
        <x:v>timeframe</x:v>
      </x:c>
      <x:c r="H79" s="98" t="n">
        <x:v>46024.567453703705</x:v>
      </x:c>
      <x:c r="I79" s="98" t="n">
        <x:v>46024.57633101852</x:v>
      </x:c>
      <x:c r="J79" s="95" t="str">
        <x:v>Fri</x:v>
      </x:c>
      <x:c r="K79" s="95" t="n">
        <x:v>1</x:v>
      </x:c>
      <x:c r="L79" s="95" t="str">
        <x:v>Completed</x:v>
      </x:c>
      <x:c r="M79" s="95" t="str">
        <x:v>Goods Cage</x:v>
      </x:c>
      <x:c r="N79" s="95" t="str">
        <x:v>D49-STORES</x:v>
      </x:c>
      <x:c r="O79" s="95" t="str">
        <x:v>D33-DROP-ZONE</x:v>
      </x:c>
      <x:c r="P79" s="95" t="str">
        <x:v>D33-STORES</x:v>
      </x:c>
      <x:c r="Q79" s="95" t="str">
        <x:v>Staff final delivery arrival</x:v>
      </x:c>
      <x:c r="R79" s="98" t="n">
        <x:v>46024.57585648148</x:v>
      </x:c>
      <x:c r="S79" s="95" t="str">
        <x:v>Generated timeframe stores task 2/3; spaced across staff hours 06:00-16:00; due by 16:00; AMR drop-off zone=D33-DROP-ZONE; final destination=D34-STORES</x:v>
      </x:c>
    </x:row>
    <x:row r="80" ht="42" customHeight="1">
      <x:c r="A80" s="95" t="str">
        <x:v>GEN_STORES_D34_00482</x:v>
      </x:c>
      <x:c r="B80" s="95" t="str"/>
      <x:c r="C80" s="95" t="str">
        <x:v>D34</x:v>
      </x:c>
      <x:c r="D80" s="95" t="str">
        <x:v>Adult Inpatients 4</x:v>
      </x:c>
      <x:c r="E80" s="95" t="str">
        <x:v>L03</x:v>
      </x:c>
      <x:c r="F80" s="95" t="str">
        <x:v>Delivery</x:v>
      </x:c>
      <x:c r="G80" s="95" t="str">
        <x:v>timeframe</x:v>
      </x:c>
      <x:c r="H80" s="98" t="n">
        <x:v>46024.58729166666</x:v>
      </x:c>
      <x:c r="I80" s="98" t="n">
        <x:v>46024.59699074074</x:v>
      </x:c>
      <x:c r="J80" s="95" t="str">
        <x:v>Fri</x:v>
      </x:c>
      <x:c r="K80" s="95" t="n">
        <x:v>1</x:v>
      </x:c>
      <x:c r="L80" s="95" t="str">
        <x:v>Completed</x:v>
      </x:c>
      <x:c r="M80" s="95" t="str">
        <x:v>Goods Cage</x:v>
      </x:c>
      <x:c r="N80" s="95" t="str">
        <x:v>D49-STORES</x:v>
      </x:c>
      <x:c r="O80" s="95" t="str">
        <x:v>D33-DROP-ZONE</x:v>
      </x:c>
      <x:c r="P80" s="95" t="str">
        <x:v>D33-STORES</x:v>
      </x:c>
      <x:c r="Q80" s="95" t="str">
        <x:v>Staff final delivery arrival</x:v>
      </x:c>
      <x:c r="R80" s="98" t="n">
        <x:v>46024.5965162037</x:v>
      </x:c>
      <x:c r="S80" s="95" t="str">
        <x:v>Generated timeframe stores task 3/3; spaced across staff hours 06:00-16:00; due by 16:00; AMR drop-off zone=D33-DROP-ZONE; final destination=D33-STORES</x:v>
      </x:c>
    </x:row>
    <x:row r="81" ht="42" customHeight="1">
      <x:c r="A81" s="95" t="str">
        <x:v>GEN_STORES_D35_01450</x:v>
      </x:c>
      <x:c r="B81" s="95" t="str"/>
      <x:c r="C81" s="95" t="str">
        <x:v>D35</x:v>
      </x:c>
      <x:c r="D81" s="95" t="str">
        <x:v>Respiratory Inpatients</x:v>
      </x:c>
      <x:c r="E81" s="95" t="str">
        <x:v>L04</x:v>
      </x:c>
      <x:c r="F81" s="95" t="str">
        <x:v>Delivery</x:v>
      </x:c>
      <x:c r="G81" s="95" t="str">
        <x:v>timeframe</x:v>
      </x:c>
      <x:c r="H81" s="98" t="n">
        <x:v>46028.416666666664</x:v>
      </x:c>
      <x:c r="I81" s="98" t="n">
        <x:v>46028.421851851854</x:v>
      </x:c>
      <x:c r="J81" s="95" t="str">
        <x:v>Tue</x:v>
      </x:c>
      <x:c r="K81" s="95" t="n">
        <x:v>1</x:v>
      </x:c>
      <x:c r="L81" s="95" t="str">
        <x:v>Completed</x:v>
      </x:c>
      <x:c r="M81" s="95" t="str">
        <x:v>Goods Cage</x:v>
      </x:c>
      <x:c r="N81" s="95" t="str">
        <x:v>D49-STORES</x:v>
      </x:c>
      <x:c r="O81" s="95" t="str">
        <x:v>D35-DROP-ZONE</x:v>
      </x:c>
      <x:c r="P81" s="95" t="str">
        <x:v>D35-STORES</x:v>
      </x:c>
      <x:c r="Q81" s="95" t="str">
        <x:v>Staff final delivery arrival</x:v>
      </x:c>
      <x:c r="R81" s="98" t="n">
        <x:v>46028.42123842592</x:v>
      </x:c>
      <x:c r="S81" s="95" t="str">
        <x:v>Generated timeframe stores task 1/3; spaced across staff hours 06:00-16:00; due by 16:00; AMR drop-off zone=D35-DROP-ZONE; final destination=D35-STORES</x:v>
      </x:c>
    </x:row>
    <x:row r="82" ht="42" customHeight="1">
      <x:c r="A82" s="95" t="str">
        <x:v>GEN_STORES_D35_01453</x:v>
      </x:c>
      <x:c r="B82" s="95" t="str"/>
      <x:c r="C82" s="95" t="str">
        <x:v>D35</x:v>
      </x:c>
      <x:c r="D82" s="95" t="str">
        <x:v>Respiratory Inpatients</x:v>
      </x:c>
      <x:c r="E82" s="95" t="str">
        <x:v>L04</x:v>
      </x:c>
      <x:c r="F82" s="95" t="str">
        <x:v>Delivery</x:v>
      </x:c>
      <x:c r="G82" s="95" t="str">
        <x:v>timeframe</x:v>
      </x:c>
      <x:c r="H82" s="98" t="n">
        <x:v>46028.430555555555</x:v>
      </x:c>
      <x:c r="I82" s="98" t="n">
        <x:v>46028.44087962963</x:v>
      </x:c>
      <x:c r="J82" s="95" t="str">
        <x:v>Tue</x:v>
      </x:c>
      <x:c r="K82" s="95" t="n">
        <x:v>1</x:v>
      </x:c>
      <x:c r="L82" s="95" t="str">
        <x:v>Completed</x:v>
      </x:c>
      <x:c r="M82" s="95" t="str">
        <x:v>Goods Cage</x:v>
      </x:c>
      <x:c r="N82" s="95" t="str">
        <x:v>D49-STORES</x:v>
      </x:c>
      <x:c r="O82" s="95" t="str">
        <x:v>D35-DROP-ZONE</x:v>
      </x:c>
      <x:c r="P82" s="95" t="str">
        <x:v>D35-STORES</x:v>
      </x:c>
      <x:c r="Q82" s="95" t="str">
        <x:v>Staff final delivery arrival</x:v>
      </x:c>
      <x:c r="R82" s="98" t="n">
        <x:v>46028.4402662037</x:v>
      </x:c>
      <x:c r="S82" s="95" t="str">
        <x:v>Generated timeframe stores task 2/3; spaced across staff hours 06:00-16:00; due by 16:00; AMR drop-off zone=D35-DROP-ZONE; final destination=D35-STORES</x:v>
      </x:c>
    </x:row>
    <x:row r="83" ht="42" customHeight="1">
      <x:c r="A83" s="95" t="str">
        <x:v>GEN_STORES_D35_01454</x:v>
      </x:c>
      <x:c r="B83" s="95" t="str"/>
      <x:c r="C83" s="95" t="str">
        <x:v>D35</x:v>
      </x:c>
      <x:c r="D83" s="95" t="str">
        <x:v>Respiratory Inpatients</x:v>
      </x:c>
      <x:c r="E83" s="95" t="str">
        <x:v>L04</x:v>
      </x:c>
      <x:c r="F83" s="95" t="str">
        <x:v>Delivery</x:v>
      </x:c>
      <x:c r="G83" s="95" t="str">
        <x:v>timeframe</x:v>
      </x:c>
      <x:c r="H83" s="98" t="n">
        <x:v>46028.444444444445</x:v>
      </x:c>
      <x:c r="I83" s="98" t="n">
        <x:v>46028.45135416667</x:v>
      </x:c>
      <x:c r="J83" s="95" t="str">
        <x:v>Tue</x:v>
      </x:c>
      <x:c r="K83" s="95" t="n">
        <x:v>1</x:v>
      </x:c>
      <x:c r="L83" s="95" t="str">
        <x:v>Completed</x:v>
      </x:c>
      <x:c r="M83" s="95" t="str">
        <x:v>Goods Cage</x:v>
      </x:c>
      <x:c r="N83" s="95" t="str">
        <x:v>D49-STORES</x:v>
      </x:c>
      <x:c r="O83" s="95" t="str">
        <x:v>D35-DROP-ZONE</x:v>
      </x:c>
      <x:c r="P83" s="95" t="str">
        <x:v>D35-STORES</x:v>
      </x:c>
      <x:c r="Q83" s="95" t="str">
        <x:v>Staff final delivery arrival</x:v>
      </x:c>
      <x:c r="R83" s="98" t="n">
        <x:v>46028.450740740744</x:v>
      </x:c>
      <x:c r="S83" s="95" t="str">
        <x:v>Generated timeframe stores task 3/3; spaced across staff hours 06:00-16:00; due by 16:00; AMR drop-off zone=D35-DROP-ZONE; final destination=D35-STORES</x:v>
      </x:c>
    </x:row>
    <x:row r="84" ht="42" customHeight="1">
      <x:c r="A84" s="95" t="str">
        <x:v>GEN_STORES_D36_01455</x:v>
      </x:c>
      <x:c r="B84" s="95" t="str"/>
      <x:c r="C84" s="95" t="str">
        <x:v>D36</x:v>
      </x:c>
      <x:c r="D84" s="95" t="str">
        <x:v>Cardic Inpatients</x:v>
      </x:c>
      <x:c r="E84" s="95" t="str">
        <x:v>L04</x:v>
      </x:c>
      <x:c r="F84" s="95" t="str">
        <x:v>Delivery</x:v>
      </x:c>
      <x:c r="G84" s="95" t="str">
        <x:v>timeframe</x:v>
      </x:c>
      <x:c r="H84" s="98" t="n">
        <x:v>46028.458333333336</x:v>
      </x:c>
      <x:c r="I84" s="98" t="n">
        <x:v>46028.46157407408</x:v>
      </x:c>
      <x:c r="J84" s="95" t="str">
        <x:v>Tue</x:v>
      </x:c>
      <x:c r="K84" s="95" t="n">
        <x:v>1</x:v>
      </x:c>
      <x:c r="L84" s="95" t="str">
        <x:v>Completed</x:v>
      </x:c>
      <x:c r="M84" s="95" t="str">
        <x:v>Goods Cage</x:v>
      </x:c>
      <x:c r="N84" s="95" t="str">
        <x:v>D49-STORES</x:v>
      </x:c>
      <x:c r="O84" s="95" t="str">
        <x:v>D35-DROP-ZONE</x:v>
      </x:c>
      <x:c r="P84" s="95" t="str">
        <x:v>D36-STORES</x:v>
      </x:c>
      <x:c r="Q84" s="95" t="str">
        <x:v>Staff final delivery arrival</x:v>
      </x:c>
      <x:c r="R84" s="98" t="n">
        <x:v>46028.46113425926</x:v>
      </x:c>
      <x:c r="S84" s="95" t="str">
        <x:v>Generated timeframe stores task 1/3; spaced across staff hours 06:00-16:00; due by 16:00; AMR drop-off zone=D35-DROP-ZONE; final destination=D36-STORES</x:v>
      </x:c>
    </x:row>
    <x:row r="85" ht="42" customHeight="1">
      <x:c r="A85" s="95" t="str">
        <x:v>GEN_STORES_D36_01457</x:v>
      </x:c>
      <x:c r="B85" s="95" t="str"/>
      <x:c r="C85" s="95" t="str">
        <x:v>D36</x:v>
      </x:c>
      <x:c r="D85" s="95" t="str">
        <x:v>Cardic Inpatients</x:v>
      </x:c>
      <x:c r="E85" s="95" t="str">
        <x:v>L04</x:v>
      </x:c>
      <x:c r="F85" s="95" t="str">
        <x:v>Delivery</x:v>
      </x:c>
      <x:c r="G85" s="95" t="str">
        <x:v>timeframe</x:v>
      </x:c>
      <x:c r="H85" s="98" t="n">
        <x:v>46028.47222222222</x:v>
      </x:c>
      <x:c r="I85" s="98" t="n">
        <x:v>46028.482627314814</x:v>
      </x:c>
      <x:c r="J85" s="95" t="str">
        <x:v>Tue</x:v>
      </x:c>
      <x:c r="K85" s="95" t="n">
        <x:v>1</x:v>
      </x:c>
      <x:c r="L85" s="95" t="str">
        <x:v>Completed</x:v>
      </x:c>
      <x:c r="M85" s="95" t="str">
        <x:v>Goods Cage</x:v>
      </x:c>
      <x:c r="N85" s="95" t="str">
        <x:v>D49-STORES</x:v>
      </x:c>
      <x:c r="O85" s="95" t="str">
        <x:v>D35-DROP-ZONE</x:v>
      </x:c>
      <x:c r="P85" s="95" t="str">
        <x:v>D36-STORES</x:v>
      </x:c>
      <x:c r="Q85" s="95" t="str">
        <x:v>Staff final delivery arrival</x:v>
      </x:c>
      <x:c r="R85" s="98" t="n">
        <x:v>46028.482199074075</x:v>
      </x:c>
      <x:c r="S85" s="95" t="str">
        <x:v>Generated timeframe stores task 2/3; spaced across staff hours 06:00-16:00; due by 16:00; AMR drop-off zone=D35-DROP-ZONE; final destination=D36-STORES</x:v>
      </x:c>
    </x:row>
    <x:row r="86" ht="42" customHeight="1">
      <x:c r="A86" s="95" t="str">
        <x:v>GEN_STORES_D36_01476</x:v>
      </x:c>
      <x:c r="B86" s="95" t="str"/>
      <x:c r="C86" s="95" t="str">
        <x:v>D36</x:v>
      </x:c>
      <x:c r="D86" s="95" t="str">
        <x:v>Cardic Inpatients</x:v>
      </x:c>
      <x:c r="E86" s="95" t="str">
        <x:v>L04</x:v>
      </x:c>
      <x:c r="F86" s="95" t="str">
        <x:v>Delivery</x:v>
      </x:c>
      <x:c r="G86" s="95" t="str">
        <x:v>timeframe</x:v>
      </x:c>
      <x:c r="H86" s="98" t="n">
        <x:v>46028.48611111111</x:v>
      </x:c>
      <x:c r="I86" s="98" t="n">
        <x:v>46028.49277777778</x:v>
      </x:c>
      <x:c r="J86" s="95" t="str">
        <x:v>Tue</x:v>
      </x:c>
      <x:c r="K86" s="95" t="n">
        <x:v>1</x:v>
      </x:c>
      <x:c r="L86" s="95" t="str">
        <x:v>Completed</x:v>
      </x:c>
      <x:c r="M86" s="95" t="str">
        <x:v>Goods Cage</x:v>
      </x:c>
      <x:c r="N86" s="95" t="str">
        <x:v>D49-STORES</x:v>
      </x:c>
      <x:c r="O86" s="95" t="str">
        <x:v>D35-DROP-ZONE</x:v>
      </x:c>
      <x:c r="P86" s="95" t="str">
        <x:v>D36-STORES</x:v>
      </x:c>
      <x:c r="Q86" s="95" t="str">
        <x:v>Staff final delivery arrival</x:v>
      </x:c>
      <x:c r="R86" s="98" t="n">
        <x:v>46028.49234953704</x:v>
      </x:c>
      <x:c r="S86" s="95" t="str">
        <x:v>Generated timeframe stores task 3/3; spaced across staff hours 06:00-16:00; due by 16:00; AMR drop-off zone=D35-DROP-ZONE; final destination=D36-STORES</x:v>
      </x:c>
    </x:row>
    <x:row r="87" ht="42" customHeight="1">
      <x:c r="A87" s="95" t="str">
        <x:v>GEN_STORES_D37_00488</x:v>
      </x:c>
      <x:c r="B87" s="95" t="str"/>
      <x:c r="C87" s="95" t="str">
        <x:v>D37</x:v>
      </x:c>
      <x:c r="D87" s="95" t="str">
        <x:v>Adult Inpatients 5</x:v>
      </x:c>
      <x:c r="E87" s="95" t="str">
        <x:v>L04</x:v>
      </x:c>
      <x:c r="F87" s="95" t="str">
        <x:v>Delivery</x:v>
      </x:c>
      <x:c r="G87" s="95" t="str">
        <x:v>timeframe</x:v>
      </x:c>
      <x:c r="H87" s="98" t="n">
        <x:v>46024.607141203705</x:v>
      </x:c>
      <x:c r="I87" s="98" t="n">
        <x:v>46024.6174537037</x:v>
      </x:c>
      <x:c r="J87" s="95" t="str">
        <x:v>Fri</x:v>
      </x:c>
      <x:c r="K87" s="95" t="n">
        <x:v>1</x:v>
      </x:c>
      <x:c r="L87" s="95" t="str">
        <x:v>Completed</x:v>
      </x:c>
      <x:c r="M87" s="95" t="str">
        <x:v>Goods Cage</x:v>
      </x:c>
      <x:c r="N87" s="95" t="str">
        <x:v>D49-STORES</x:v>
      </x:c>
      <x:c r="O87" s="95" t="str">
        <x:v>D38-DROP-ZONE</x:v>
      </x:c>
      <x:c r="P87" s="95" t="str">
        <x:v>D37-STORES</x:v>
      </x:c>
      <x:c r="Q87" s="95" t="str">
        <x:v>Staff final delivery arrival</x:v>
      </x:c>
      <x:c r="R87" s="98" t="n">
        <x:v>46024.617118055554</x:v>
      </x:c>
      <x:c r="S87" s="95" t="str">
        <x:v>Generated timeframe stores task 1/3; spaced across staff hours 06:00-16:00; due by 16:00; AMR drop-off zone=D38-DROP-ZONE; final destination=D37-STORES</x:v>
      </x:c>
    </x:row>
    <x:row r="88" ht="42" customHeight="1">
      <x:c r="A88" s="95" t="str">
        <x:v>GEN_STORES_D37_00489</x:v>
      </x:c>
      <x:c r="B88" s="95" t="str"/>
      <x:c r="C88" s="95" t="str">
        <x:v>D37</x:v>
      </x:c>
      <x:c r="D88" s="95" t="str">
        <x:v>Adult Inpatients 5</x:v>
      </x:c>
      <x:c r="E88" s="95" t="str">
        <x:v>L04</x:v>
      </x:c>
      <x:c r="F88" s="95" t="str">
        <x:v>Delivery</x:v>
      </x:c>
      <x:c r="G88" s="95" t="str">
        <x:v>timeframe</x:v>
      </x:c>
      <x:c r="H88" s="98" t="n">
        <x:v>46024.626979166664</x:v>
      </x:c>
      <x:c r="I88" s="98" t="n">
        <x:v>46024.638125</x:v>
      </x:c>
      <x:c r="J88" s="95" t="str">
        <x:v>Fri</x:v>
      </x:c>
      <x:c r="K88" s="95" t="n">
        <x:v>1</x:v>
      </x:c>
      <x:c r="L88" s="95" t="str">
        <x:v>Completed</x:v>
      </x:c>
      <x:c r="M88" s="95" t="str">
        <x:v>Goods Cage</x:v>
      </x:c>
      <x:c r="N88" s="95" t="str">
        <x:v>D49-STORES</x:v>
      </x:c>
      <x:c r="O88" s="95" t="str">
        <x:v>D38-DROP-ZONE</x:v>
      </x:c>
      <x:c r="P88" s="95" t="str">
        <x:v>D37-STORES</x:v>
      </x:c>
      <x:c r="Q88" s="95" t="str">
        <x:v>Staff final delivery arrival</x:v>
      </x:c>
      <x:c r="R88" s="98" t="n">
        <x:v>46024.63780092593</x:v>
      </x:c>
      <x:c r="S88" s="95" t="str">
        <x:v>Generated timeframe stores task 2/3; spaced across staff hours 06:00-16:00; due by 16:00; AMR drop-off zone=D38-DROP-ZONE; final destination=D37-STORES</x:v>
      </x:c>
    </x:row>
    <x:row r="89" ht="42" customHeight="1">
      <x:c r="A89" s="95" t="str">
        <x:v>GEN_STORES_D37_00490</x:v>
      </x:c>
      <x:c r="B89" s="95" t="str"/>
      <x:c r="C89" s="95" t="str">
        <x:v>D37</x:v>
      </x:c>
      <x:c r="D89" s="95" t="str">
        <x:v>Adult Inpatients 5</x:v>
      </x:c>
      <x:c r="E89" s="95" t="str">
        <x:v>L04</x:v>
      </x:c>
      <x:c r="F89" s="95" t="str">
        <x:v>Delivery</x:v>
      </x:c>
      <x:c r="G89" s="95" t="str">
        <x:v>timeframe</x:v>
      </x:c>
      <x:c r="H89" s="98" t="n">
        <x:v>46024.64681712963</x:v>
      </x:c>
      <x:c r="I89" s="98" t="n">
        <x:v>46024.65896990741</x:v>
      </x:c>
      <x:c r="J89" s="95" t="str">
        <x:v>Fri</x:v>
      </x:c>
      <x:c r="K89" s="95" t="n">
        <x:v>1</x:v>
      </x:c>
      <x:c r="L89" s="95" t="str">
        <x:v>Completed</x:v>
      </x:c>
      <x:c r="M89" s="95" t="str">
        <x:v>Goods Cage</x:v>
      </x:c>
      <x:c r="N89" s="95" t="str">
        <x:v>D49-STORES</x:v>
      </x:c>
      <x:c r="O89" s="95" t="str">
        <x:v>D38-DROP-ZONE</x:v>
      </x:c>
      <x:c r="P89" s="95" t="str">
        <x:v>D37-STORES</x:v>
      </x:c>
      <x:c r="Q89" s="95" t="str">
        <x:v>Staff final delivery arrival</x:v>
      </x:c>
      <x:c r="R89" s="98" t="n">
        <x:v>46024.65864583333</x:v>
      </x:c>
      <x:c r="S89" s="95" t="str">
        <x:v>Generated timeframe stores task 3/3; spaced across staff hours 06:00-16:00; due by 16:00; AMR drop-off zone=D38-DROP-ZONE; final destination=D37-STORES</x:v>
      </x:c>
    </x:row>
    <x:row r="90" ht="42" customHeight="1">
      <x:c r="A90" s="95" t="str">
        <x:v>GEN_STORES_D38_01144</x:v>
      </x:c>
      <x:c r="B90" s="95" t="str"/>
      <x:c r="C90" s="95" t="str">
        <x:v>D38</x:v>
      </x:c>
      <x:c r="D90" s="95" t="str">
        <x:v>Elective Orthopaedic Inpatients</x:v>
      </x:c>
      <x:c r="E90" s="95" t="str">
        <x:v>L04</x:v>
      </x:c>
      <x:c r="F90" s="95" t="str">
        <x:v>Delivery</x:v>
      </x:c>
      <x:c r="G90" s="95" t="str">
        <x:v>timeframe</x:v>
      </x:c>
      <x:c r="H90" s="98" t="n">
        <x:v>46027.51526620371</x:v>
      </x:c>
      <x:c r="I90" s="98" t="n">
        <x:v>46027.52363425926</x:v>
      </x:c>
      <x:c r="J90" s="95" t="str">
        <x:v>Mon</x:v>
      </x:c>
      <x:c r="K90" s="95" t="n">
        <x:v>1</x:v>
      </x:c>
      <x:c r="L90" s="95" t="str">
        <x:v>Completed</x:v>
      </x:c>
      <x:c r="M90" s="95" t="str">
        <x:v>Goods Cage</x:v>
      </x:c>
      <x:c r="N90" s="95" t="str">
        <x:v>D49-STORES</x:v>
      </x:c>
      <x:c r="O90" s="95" t="str">
        <x:v>D38-DROP-ZONE</x:v>
      </x:c>
      <x:c r="P90" s="95" t="str">
        <x:v>D37-STORES</x:v>
      </x:c>
      <x:c r="Q90" s="95" t="str">
        <x:v>Staff final delivery arrival</x:v>
      </x:c>
      <x:c r="R90" s="98" t="n">
        <x:v>46027.52329861111</x:v>
      </x:c>
      <x:c r="S90" s="95" t="str">
        <x:v>Generated timeframe stores task 1/3; spaced across staff hours 06:00-16:00; due by 16:00; AMR drop-off zone=D38-DROP-ZONE; final destination=D37-STORES</x:v>
      </x:c>
    </x:row>
    <x:row r="91" ht="42" customHeight="1">
      <x:c r="A91" s="95" t="str">
        <x:v>GEN_STORES_D38_01164</x:v>
      </x:c>
      <x:c r="B91" s="95" t="str"/>
      <x:c r="C91" s="95" t="str">
        <x:v>D38</x:v>
      </x:c>
      <x:c r="D91" s="95" t="str">
        <x:v>Elective Orthopaedic Inpatients</x:v>
      </x:c>
      <x:c r="E91" s="95" t="str">
        <x:v>L04</x:v>
      </x:c>
      <x:c r="F91" s="95" t="str">
        <x:v>Delivery</x:v>
      </x:c>
      <x:c r="G91" s="95" t="str">
        <x:v>timeframe</x:v>
      </x:c>
      <x:c r="H91" s="98" t="n">
        <x:v>46027.52777777778</x:v>
      </x:c>
      <x:c r="I91" s="98" t="n">
        <x:v>46027.63675925926</x:v>
      </x:c>
      <x:c r="J91" s="95" t="str">
        <x:v>Mon</x:v>
      </x:c>
      <x:c r="K91" s="95" t="n">
        <x:v>1</x:v>
      </x:c>
      <x:c r="L91" s="95" t="str">
        <x:v>Completed</x:v>
      </x:c>
      <x:c r="M91" s="95" t="str">
        <x:v>Goods Cage</x:v>
      </x:c>
      <x:c r="N91" s="95" t="str">
        <x:v>D49-STORES</x:v>
      </x:c>
      <x:c r="O91" s="95" t="str">
        <x:v>D38-DROP-ZONE</x:v>
      </x:c>
      <x:c r="P91" s="95" t="str">
        <x:v>D37-STORES</x:v>
      </x:c>
      <x:c r="Q91" s="95" t="str">
        <x:v>Staff final delivery arrival</x:v>
      </x:c>
      <x:c r="R91" s="98" t="n">
        <x:v>46027.63643518519</x:v>
      </x:c>
      <x:c r="S91" s="95" t="str">
        <x:v>Generated timeframe stores task 2/3; spaced across staff hours 06:00-16:00; due by 16:00; AMR drop-off zone=D38-DROP-ZONE; final destination=D38-STORES</x:v>
      </x:c>
    </x:row>
    <x:row r="92" ht="42" customHeight="1">
      <x:c r="A92" s="95" t="str">
        <x:v>GEN_STORES_D38_01166</x:v>
      </x:c>
      <x:c r="B92" s="95" t="str"/>
      <x:c r="C92" s="95" t="str">
        <x:v>D38</x:v>
      </x:c>
      <x:c r="D92" s="95" t="str">
        <x:v>Elective Orthopaedic Inpatients</x:v>
      </x:c>
      <x:c r="E92" s="95" t="str">
        <x:v>L04</x:v>
      </x:c>
      <x:c r="F92" s="95" t="str">
        <x:v>Delivery</x:v>
      </x:c>
      <x:c r="G92" s="95" t="str">
        <x:v>timeframe</x:v>
      </x:c>
      <x:c r="H92" s="98" t="n">
        <x:v>46027.54039351852</x:v>
      </x:c>
      <x:c r="I92" s="98" t="n">
        <x:v>46027.637037037035</x:v>
      </x:c>
      <x:c r="J92" s="95" t="str">
        <x:v>Mon</x:v>
      </x:c>
      <x:c r="K92" s="95" t="n">
        <x:v>1</x:v>
      </x:c>
      <x:c r="L92" s="95" t="str">
        <x:v>Completed</x:v>
      </x:c>
      <x:c r="M92" s="95" t="str">
        <x:v>Goods Cage</x:v>
      </x:c>
      <x:c r="N92" s="95" t="str">
        <x:v>D49-STORES</x:v>
      </x:c>
      <x:c r="O92" s="95" t="str">
        <x:v>D38-DROP-ZONE</x:v>
      </x:c>
      <x:c r="P92" s="95" t="str">
        <x:v>D38-STORES</x:v>
      </x:c>
      <x:c r="Q92" s="95" t="str">
        <x:v>Staff final delivery arrival</x:v>
      </x:c>
      <x:c r="R92" s="98" t="n">
        <x:v>46027.63652777778</x:v>
      </x:c>
      <x:c r="S92" s="95" t="str">
        <x:v>Generated timeframe stores task 3/3; spaced across staff hours 06:00-16:00; due by 16:00; AMR drop-off zone=D38-DROP-ZONE; final destination=D37-STORES</x:v>
      </x:c>
    </x:row>
    <x:row r="93" ht="42" customHeight="1">
      <x:c r="A93" s="95" t="str">
        <x:v>GEN_STORES_D39_01477</x:v>
      </x:c>
      <x:c r="B93" s="95" t="str"/>
      <x:c r="C93" s="95" t="str">
        <x:v>D39</x:v>
      </x:c>
      <x:c r="D93" s="95" t="str">
        <x:v>Adult Inpatients 6</x:v>
      </x:c>
      <x:c r="E93" s="95" t="str">
        <x:v>L04</x:v>
      </x:c>
      <x:c r="F93" s="95" t="str">
        <x:v>Delivery</x:v>
      </x:c>
      <x:c r="G93" s="95" t="str">
        <x:v>timeframe</x:v>
      </x:c>
      <x:c r="H93" s="98" t="n">
        <x:v>46028.5</x:v>
      </x:c>
      <x:c r="I93" s="98" t="n">
        <x:v>46028.503275462965</x:v>
      </x:c>
      <x:c r="J93" s="95" t="str">
        <x:v>Tue</x:v>
      </x:c>
      <x:c r="K93" s="95" t="n">
        <x:v>1</x:v>
      </x:c>
      <x:c r="L93" s="95" t="str">
        <x:v>Completed</x:v>
      </x:c>
      <x:c r="M93" s="95" t="str">
        <x:v>Goods Cage</x:v>
      </x:c>
      <x:c r="N93" s="95" t="str">
        <x:v>D49-STORES</x:v>
      </x:c>
      <x:c r="O93" s="95" t="str">
        <x:v>D39-DROP-ZONE</x:v>
      </x:c>
      <x:c r="P93" s="95" t="str">
        <x:v>D39-STORES</x:v>
      </x:c>
      <x:c r="Q93" s="95" t="str">
        <x:v>Staff final delivery arrival</x:v>
      </x:c>
      <x:c r="R93" s="98" t="n">
        <x:v>46028.50274305556</x:v>
      </x:c>
      <x:c r="S93" s="95" t="str">
        <x:v>Generated timeframe stores task 1/3; spaced across staff hours 06:00-16:00; due by 16:00; AMR drop-off zone=D39-DROP-ZONE; final destination=D39-STORES</x:v>
      </x:c>
    </x:row>
    <x:row r="94" ht="42" customHeight="1">
      <x:c r="A94" s="95" t="str">
        <x:v>GEN_STORES_D39_01514</x:v>
      </x:c>
      <x:c r="B94" s="95" t="str"/>
      <x:c r="C94" s="95" t="str">
        <x:v>D39</x:v>
      </x:c>
      <x:c r="D94" s="95" t="str">
        <x:v>Adult Inpatients 6</x:v>
      </x:c>
      <x:c r="E94" s="95" t="str">
        <x:v>L04</x:v>
      </x:c>
      <x:c r="F94" s="95" t="str">
        <x:v>Delivery</x:v>
      </x:c>
      <x:c r="G94" s="95" t="str">
        <x:v>timeframe</x:v>
      </x:c>
      <x:c r="H94" s="98" t="n">
        <x:v>46028.51388888889</x:v>
      </x:c>
      <x:c r="I94" s="98" t="n">
        <x:v>46028.52423611111</x:v>
      </x:c>
      <x:c r="J94" s="95" t="str">
        <x:v>Tue</x:v>
      </x:c>
      <x:c r="K94" s="95" t="n">
        <x:v>1</x:v>
      </x:c>
      <x:c r="L94" s="95" t="str">
        <x:v>Completed</x:v>
      </x:c>
      <x:c r="M94" s="95" t="str">
        <x:v>Goods Cage</x:v>
      </x:c>
      <x:c r="N94" s="95" t="str">
        <x:v>D49-STORES</x:v>
      </x:c>
      <x:c r="O94" s="95" t="str">
        <x:v>D39-DROP-ZONE</x:v>
      </x:c>
      <x:c r="P94" s="95" t="str">
        <x:v>D39-STORES</x:v>
      </x:c>
      <x:c r="Q94" s="95" t="str">
        <x:v>Staff final delivery arrival</x:v>
      </x:c>
      <x:c r="R94" s="98" t="n">
        <x:v>46028.5237037037</x:v>
      </x:c>
      <x:c r="S94" s="95" t="str">
        <x:v>Generated timeframe stores task 2/3; spaced across staff hours 06:00-16:00; due by 16:00; AMR drop-off zone=D39-DROP-ZONE; final destination=D39-STORES</x:v>
      </x:c>
    </x:row>
    <x:row r="95" ht="42" customHeight="1">
      <x:c r="A95" s="95" t="str">
        <x:v>GEN_STORES_D39_01533</x:v>
      </x:c>
      <x:c r="B95" s="95" t="str"/>
      <x:c r="C95" s="95" t="str">
        <x:v>D39</x:v>
      </x:c>
      <x:c r="D95" s="95" t="str">
        <x:v>Adult Inpatients 6</x:v>
      </x:c>
      <x:c r="E95" s="95" t="str">
        <x:v>L04</x:v>
      </x:c>
      <x:c r="F95" s="95" t="str">
        <x:v>Delivery</x:v>
      </x:c>
      <x:c r="G95" s="95" t="str">
        <x:v>timeframe</x:v>
      </x:c>
      <x:c r="H95" s="98" t="n">
        <x:v>46028.52777777778</x:v>
      </x:c>
      <x:c r="I95" s="98" t="n">
        <x:v>46028.53795138889</x:v>
      </x:c>
      <x:c r="J95" s="95" t="str">
        <x:v>Tue</x:v>
      </x:c>
      <x:c r="K95" s="95" t="n">
        <x:v>1</x:v>
      </x:c>
      <x:c r="L95" s="95" t="str">
        <x:v>Completed</x:v>
      </x:c>
      <x:c r="M95" s="95" t="str">
        <x:v>Goods Cage</x:v>
      </x:c>
      <x:c r="N95" s="95" t="str">
        <x:v>D49-STORES</x:v>
      </x:c>
      <x:c r="O95" s="95" t="str">
        <x:v>D39-DROP-ZONE</x:v>
      </x:c>
      <x:c r="P95" s="95" t="str">
        <x:v>D39-STORES</x:v>
      </x:c>
      <x:c r="Q95" s="95" t="str">
        <x:v>Staff final delivery arrival</x:v>
      </x:c>
      <x:c r="R95" s="98" t="n">
        <x:v>46028.53741898148</x:v>
      </x:c>
      <x:c r="S95" s="95" t="str">
        <x:v>Generated timeframe stores task 3/3; spaced across staff hours 06:00-16:00; due by 16:00; AMR drop-off zone=D39-DROP-ZONE; final destination=D39-STORES</x:v>
      </x:c>
    </x:row>
    <x:row r="96" ht="42" customHeight="1">
      <x:c r="A96" s="95" t="str">
        <x:v>GEN_STORES_D3_01167</x:v>
      </x:c>
      <x:c r="B96" s="95" t="str"/>
      <x:c r="C96" s="95" t="str">
        <x:v>D3</x:v>
      </x:c>
      <x:c r="D96" s="95" t="str">
        <x:v>Urgent Care</x:v>
      </x:c>
      <x:c r="E96" s="95" t="str">
        <x:v>L00</x:v>
      </x:c>
      <x:c r="F96" s="95" t="str">
        <x:v>Delivery</x:v>
      </x:c>
      <x:c r="G96" s="95" t="str">
        <x:v>timeframe</x:v>
      </x:c>
      <x:c r="H96" s="98" t="n">
        <x:v>46027.55302083334</x:v>
      </x:c>
      <x:c r="I96" s="98" t="n">
        <x:v>46027.638761574075</x:v>
      </x:c>
      <x:c r="J96" s="95" t="str">
        <x:v>Mon</x:v>
      </x:c>
      <x:c r="K96" s="95" t="n">
        <x:v>1</x:v>
      </x:c>
      <x:c r="L96" s="95" t="str">
        <x:v>Completed</x:v>
      </x:c>
      <x:c r="M96" s="95" t="str">
        <x:v>Goods Cage</x:v>
      </x:c>
      <x:c r="N96" s="95" t="str">
        <x:v>D49-STORES</x:v>
      </x:c>
      <x:c r="O96" s="95" t="str">
        <x:v>D3-DROP-ZONE</x:v>
      </x:c>
      <x:c r="P96" s="95" t="str">
        <x:v>D3-STORES</x:v>
      </x:c>
      <x:c r="Q96" s="95" t="str">
        <x:v>Staff final delivery arrival</x:v>
      </x:c>
      <x:c r="R96" s="98" t="n">
        <x:v>46027.638287037036</x:v>
      </x:c>
      <x:c r="S96" s="95" t="str">
        <x:v>Generated timeframe stores task 1/3; spaced across staff hours 06:00-16:00; due by 16:00; AMR drop-off zone=D3-DROP-ZONE; final destination=D3-STORES</x:v>
      </x:c>
    </x:row>
    <x:row r="97" ht="42" customHeight="1">
      <x:c r="A97" s="95" t="str">
        <x:v>GEN_STORES_D3_01168</x:v>
      </x:c>
      <x:c r="B97" s="95" t="str"/>
      <x:c r="C97" s="95" t="str">
        <x:v>D3</x:v>
      </x:c>
      <x:c r="D97" s="95" t="str">
        <x:v>Urgent Care</x:v>
      </x:c>
      <x:c r="E97" s="95" t="str">
        <x:v>L00</x:v>
      </x:c>
      <x:c r="F97" s="95" t="str">
        <x:v>Delivery</x:v>
      </x:c>
      <x:c r="G97" s="95" t="str">
        <x:v>timeframe</x:v>
      </x:c>
      <x:c r="H97" s="98" t="n">
        <x:v>46027.56564814815</x:v>
      </x:c>
      <x:c r="I97" s="98" t="n">
        <x:v>46027.64056712963</x:v>
      </x:c>
      <x:c r="J97" s="95" t="str">
        <x:v>Mon</x:v>
      </x:c>
      <x:c r="K97" s="95" t="n">
        <x:v>1</x:v>
      </x:c>
      <x:c r="L97" s="95" t="str">
        <x:v>Completed</x:v>
      </x:c>
      <x:c r="M97" s="95" t="str">
        <x:v>Goods Cage</x:v>
      </x:c>
      <x:c r="N97" s="95" t="str">
        <x:v>D49-STORES</x:v>
      </x:c>
      <x:c r="O97" s="95" t="str">
        <x:v>D3-DROP-ZONE</x:v>
      </x:c>
      <x:c r="P97" s="95" t="str">
        <x:v>D3-STORES</x:v>
      </x:c>
      <x:c r="Q97" s="95" t="str">
        <x:v>Staff final delivery arrival</x:v>
      </x:c>
      <x:c r="R97" s="98" t="n">
        <x:v>46027.64010416667</x:v>
      </x:c>
      <x:c r="S97" s="95" t="str">
        <x:v>Generated timeframe stores task 2/3; spaced across staff hours 06:00-16:00; due by 16:00; AMR drop-off zone=D3-DROP-ZONE; final destination=D3-STORES</x:v>
      </x:c>
    </x:row>
    <x:row r="98" ht="42" customHeight="1">
      <x:c r="A98" s="95" t="str">
        <x:v>GEN_STORES_D3_01188</x:v>
      </x:c>
      <x:c r="B98" s="95" t="str"/>
      <x:c r="C98" s="95" t="str">
        <x:v>D3</x:v>
      </x:c>
      <x:c r="D98" s="95" t="str">
        <x:v>Urgent Care</x:v>
      </x:c>
      <x:c r="E98" s="95" t="str">
        <x:v>L00</x:v>
      </x:c>
      <x:c r="F98" s="95" t="str">
        <x:v>Delivery</x:v>
      </x:c>
      <x:c r="G98" s="95" t="str">
        <x:v>timeframe</x:v>
      </x:c>
      <x:c r="H98" s="98" t="n">
        <x:v>46027.57827546296</x:v>
      </x:c>
      <x:c r="I98" s="98" t="n">
        <x:v>46027.64119212963</x:v>
      </x:c>
      <x:c r="J98" s="95" t="str">
        <x:v>Mon</x:v>
      </x:c>
      <x:c r="K98" s="95" t="n">
        <x:v>1</x:v>
      </x:c>
      <x:c r="L98" s="95" t="str">
        <x:v>Completed</x:v>
      </x:c>
      <x:c r="M98" s="95" t="str">
        <x:v>Goods Cage</x:v>
      </x:c>
      <x:c r="N98" s="95" t="str">
        <x:v>D49-STORES</x:v>
      </x:c>
      <x:c r="O98" s="95" t="str">
        <x:v>D3-DROP-ZONE</x:v>
      </x:c>
      <x:c r="P98" s="95" t="str">
        <x:v>D3-STORES</x:v>
      </x:c>
      <x:c r="Q98" s="95" t="str">
        <x:v>Staff final delivery arrival</x:v>
      </x:c>
      <x:c r="R98" s="98" t="n">
        <x:v>46027.64072916667</x:v>
      </x:c>
      <x:c r="S98" s="95" t="str">
        <x:v>Generated timeframe stores task 3/3; spaced across staff hours 06:00-16:00; due by 16:00; AMR drop-off zone=D3-DROP-ZONE; final destination=D3-STORES</x:v>
      </x:c>
    </x:row>
    <x:row r="99" ht="42" customHeight="1">
      <x:c r="A99" s="95" t="str">
        <x:v>GEN_STORES_D40_01537</x:v>
      </x:c>
      <x:c r="B99" s="95" t="str"/>
      <x:c r="C99" s="95" t="str">
        <x:v>D40</x:v>
      </x:c>
      <x:c r="D99" s="95" t="str">
        <x:v>Adult Inpatients 7</x:v>
      </x:c>
      <x:c r="E99" s="95" t="str">
        <x:v>L04</x:v>
      </x:c>
      <x:c r="F99" s="95" t="str">
        <x:v>Delivery</x:v>
      </x:c>
      <x:c r="G99" s="95" t="str">
        <x:v>timeframe</x:v>
      </x:c>
      <x:c r="H99" s="98" t="n">
        <x:v>46028.54201388889</x:v>
      </x:c>
      <x:c r="I99" s="98" t="n">
        <x:v>46028.549108796295</x:v>
      </x:c>
      <x:c r="J99" s="95" t="str">
        <x:v>Tue</x:v>
      </x:c>
      <x:c r="K99" s="95" t="n">
        <x:v>1</x:v>
      </x:c>
      <x:c r="L99" s="95" t="str">
        <x:v>Completed</x:v>
      </x:c>
      <x:c r="M99" s="95" t="str">
        <x:v>Goods Cage</x:v>
      </x:c>
      <x:c r="N99" s="95" t="str">
        <x:v>D49-STORES</x:v>
      </x:c>
      <x:c r="O99" s="95" t="str">
        <x:v>D39-DROP-ZONE</x:v>
      </x:c>
      <x:c r="P99" s="95" t="str">
        <x:v>D40-STORES</x:v>
      </x:c>
      <x:c r="Q99" s="95" t="str">
        <x:v>Staff final delivery arrival</x:v>
      </x:c>
      <x:c r="R99" s="98" t="n">
        <x:v>46028.54859953704</x:v>
      </x:c>
      <x:c r="S99" s="95" t="str">
        <x:v>Generated timeframe stores task 1/3; spaced across staff hours 06:00-16:00; due by 16:00; AMR drop-off zone=D39-DROP-ZONE; final destination=D40-STORES</x:v>
      </x:c>
    </x:row>
    <x:row r="100" ht="42" customHeight="1">
      <x:c r="A100" s="95" t="str">
        <x:v>GEN_STORES_D40_01539</x:v>
      </x:c>
      <x:c r="B100" s="95" t="str"/>
      <x:c r="C100" s="95" t="str">
        <x:v>D40</x:v>
      </x:c>
      <x:c r="D100" s="95" t="str">
        <x:v>Adult Inpatients 7</x:v>
      </x:c>
      <x:c r="E100" s="95" t="str">
        <x:v>L04</x:v>
      </x:c>
      <x:c r="F100" s="95" t="str">
        <x:v>Delivery</x:v>
      </x:c>
      <x:c r="G100" s="95" t="str">
        <x:v>timeframe</x:v>
      </x:c>
      <x:c r="H100" s="98" t="n">
        <x:v>46028.555555555555</x:v>
      </x:c>
      <x:c r="I100" s="98" t="n">
        <x:v>46028.56594907407</x:v>
      </x:c>
      <x:c r="J100" s="95" t="str">
        <x:v>Tue</x:v>
      </x:c>
      <x:c r="K100" s="95" t="n">
        <x:v>1</x:v>
      </x:c>
      <x:c r="L100" s="95" t="str">
        <x:v>Completed</x:v>
      </x:c>
      <x:c r="M100" s="95" t="str">
        <x:v>Goods Cage</x:v>
      </x:c>
      <x:c r="N100" s="95" t="str">
        <x:v>D49-STORES</x:v>
      </x:c>
      <x:c r="O100" s="95" t="str">
        <x:v>D39-DROP-ZONE</x:v>
      </x:c>
      <x:c r="P100" s="95" t="str">
        <x:v>D40-STORES</x:v>
      </x:c>
      <x:c r="Q100" s="95" t="str">
        <x:v>Staff final delivery arrival</x:v>
      </x:c>
      <x:c r="R100" s="98" t="n">
        <x:v>46028.56543981482</x:v>
      </x:c>
      <x:c r="S100" s="95" t="str">
        <x:v>Generated timeframe stores task 2/3; spaced across staff hours 06:00-16:00; due by 16:00; AMR drop-off zone=D39-DROP-ZONE; final destination=D40-STORES</x:v>
      </x:c>
    </x:row>
    <x:row r="101" ht="42" customHeight="1">
      <x:c r="A101" s="95" t="str">
        <x:v>GEN_STORES_D40_01541</x:v>
      </x:c>
      <x:c r="B101" s="95" t="str"/>
      <x:c r="C101" s="95" t="str">
        <x:v>D40</x:v>
      </x:c>
      <x:c r="D101" s="95" t="str">
        <x:v>Adult Inpatients 7</x:v>
      </x:c>
      <x:c r="E101" s="95" t="str">
        <x:v>L04</x:v>
      </x:c>
      <x:c r="F101" s="95" t="str">
        <x:v>Delivery</x:v>
      </x:c>
      <x:c r="G101" s="95" t="str">
        <x:v>timeframe</x:v>
      </x:c>
      <x:c r="H101" s="98" t="n">
        <x:v>46028.569444444445</x:v>
      </x:c>
      <x:c r="I101" s="98" t="n">
        <x:v>46028.57634259259</x:v>
      </x:c>
      <x:c r="J101" s="95" t="str">
        <x:v>Tue</x:v>
      </x:c>
      <x:c r="K101" s="95" t="n">
        <x:v>1</x:v>
      </x:c>
      <x:c r="L101" s="95" t="str">
        <x:v>Completed</x:v>
      </x:c>
      <x:c r="M101" s="95" t="str">
        <x:v>Goods Cage</x:v>
      </x:c>
      <x:c r="N101" s="95" t="str">
        <x:v>D49-STORES</x:v>
      </x:c>
      <x:c r="O101" s="95" t="str">
        <x:v>D39-DROP-ZONE</x:v>
      </x:c>
      <x:c r="P101" s="95" t="str">
        <x:v>D40-STORES</x:v>
      </x:c>
      <x:c r="Q101" s="95" t="str">
        <x:v>Staff final delivery arrival</x:v>
      </x:c>
      <x:c r="R101" s="98" t="n">
        <x:v>46028.57582175926</x:v>
      </x:c>
      <x:c r="S101" s="95" t="str">
        <x:v>Generated timeframe stores task 3/3; spaced across staff hours 06:00-16:00; due by 16:00; AMR drop-off zone=D39-DROP-ZONE; final destination=D40-STORES</x:v>
      </x:c>
    </x:row>
    <x:row r="102" ht="42" customHeight="1">
      <x:c r="A102" s="95" t="str">
        <x:v>GEN_STORES_D41_01542</x:v>
      </x:c>
      <x:c r="B102" s="95" t="str"/>
      <x:c r="C102" s="95" t="str">
        <x:v>D41</x:v>
      </x:c>
      <x:c r="D102" s="95" t="str">
        <x:v>Adult Inpatients 8</x:v>
      </x:c>
      <x:c r="E102" s="95" t="str">
        <x:v>L05</x:v>
      </x:c>
      <x:c r="F102" s="95" t="str">
        <x:v>Delivery</x:v>
      </x:c>
      <x:c r="G102" s="95" t="str">
        <x:v>timeframe</x:v>
      </x:c>
      <x:c r="H102" s="98" t="n">
        <x:v>46028.583333333336</x:v>
      </x:c>
      <x:c r="I102" s="98" t="n">
        <x:v>46028.58696759259</x:v>
      </x:c>
      <x:c r="J102" s="95" t="str">
        <x:v>Tue</x:v>
      </x:c>
      <x:c r="K102" s="95" t="n">
        <x:v>1</x:v>
      </x:c>
      <x:c r="L102" s="95" t="str">
        <x:v>Completed</x:v>
      </x:c>
      <x:c r="M102" s="95" t="str">
        <x:v>Goods Cage</x:v>
      </x:c>
      <x:c r="N102" s="95" t="str">
        <x:v>D49-STORES</x:v>
      </x:c>
      <x:c r="O102" s="95" t="str">
        <x:v>D41-DROP-ZONE</x:v>
      </x:c>
      <x:c r="P102" s="95" t="str">
        <x:v>D41-STORES</x:v>
      </x:c>
      <x:c r="Q102" s="95" t="str">
        <x:v>Staff final delivery arrival</x:v>
      </x:c>
      <x:c r="R102" s="98" t="n">
        <x:v>46028.58636574074</x:v>
      </x:c>
      <x:c r="S102" s="95" t="str">
        <x:v>Generated timeframe stores task 1/3; spaced across staff hours 06:00-16:00; due by 16:00; AMR drop-off zone=D41-DROP-ZONE; final destination=D41-STORES</x:v>
      </x:c>
    </x:row>
    <x:row r="103" ht="42" customHeight="1">
      <x:c r="A103" s="95" t="str">
        <x:v>GEN_STORES_D41_01544</x:v>
      </x:c>
      <x:c r="B103" s="95" t="str"/>
      <x:c r="C103" s="95" t="str">
        <x:v>D41</x:v>
      </x:c>
      <x:c r="D103" s="95" t="str">
        <x:v>Adult Inpatients 8</x:v>
      </x:c>
      <x:c r="E103" s="95" t="str">
        <x:v>L05</x:v>
      </x:c>
      <x:c r="F103" s="95" t="str">
        <x:v>Delivery</x:v>
      </x:c>
      <x:c r="G103" s="95" t="str">
        <x:v>timeframe</x:v>
      </x:c>
      <x:c r="H103" s="98" t="n">
        <x:v>46028.59722222222</x:v>
      </x:c>
      <x:c r="I103" s="98" t="n">
        <x:v>46028.607881944445</x:v>
      </x:c>
      <x:c r="J103" s="95" t="str">
        <x:v>Tue</x:v>
      </x:c>
      <x:c r="K103" s="95" t="n">
        <x:v>1</x:v>
      </x:c>
      <x:c r="L103" s="95" t="str">
        <x:v>Completed</x:v>
      </x:c>
      <x:c r="M103" s="95" t="str">
        <x:v>Goods Cage</x:v>
      </x:c>
      <x:c r="N103" s="95" t="str">
        <x:v>D49-STORES</x:v>
      </x:c>
      <x:c r="O103" s="95" t="str">
        <x:v>D41-DROP-ZONE</x:v>
      </x:c>
      <x:c r="P103" s="95" t="str">
        <x:v>D41-STORES</x:v>
      </x:c>
      <x:c r="Q103" s="95" t="str">
        <x:v>Staff final delivery arrival</x:v>
      </x:c>
      <x:c r="R103" s="98" t="n">
        <x:v>46028.60726851852</x:v>
      </x:c>
      <x:c r="S103" s="95" t="str">
        <x:v>Generated timeframe stores task 2/3; spaced across staff hours 06:00-16:00; due by 16:00; AMR drop-off zone=D41-DROP-ZONE; final destination=D41-STORES</x:v>
      </x:c>
    </x:row>
    <x:row r="104" ht="42" customHeight="1">
      <x:c r="A104" s="95" t="str">
        <x:v>GEN_STORES_D41_01567</x:v>
      </x:c>
      <x:c r="B104" s="95" t="str"/>
      <x:c r="C104" s="95" t="str">
        <x:v>D41</x:v>
      </x:c>
      <x:c r="D104" s="95" t="str">
        <x:v>Adult Inpatients 8</x:v>
      </x:c>
      <x:c r="E104" s="95" t="str">
        <x:v>L05</x:v>
      </x:c>
      <x:c r="F104" s="95" t="str">
        <x:v>Delivery</x:v>
      </x:c>
      <x:c r="G104" s="95" t="str">
        <x:v>timeframe</x:v>
      </x:c>
      <x:c r="H104" s="98" t="n">
        <x:v>46028.61111111111</x:v>
      </x:c>
      <x:c r="I104" s="98" t="n">
        <x:v>46028.618113425924</x:v>
      </x:c>
      <x:c r="J104" s="95" t="str">
        <x:v>Tue</x:v>
      </x:c>
      <x:c r="K104" s="95" t="n">
        <x:v>1</x:v>
      </x:c>
      <x:c r="L104" s="95" t="str">
        <x:v>Completed</x:v>
      </x:c>
      <x:c r="M104" s="95" t="str">
        <x:v>Goods Cage</x:v>
      </x:c>
      <x:c r="N104" s="95" t="str">
        <x:v>D49-STORES</x:v>
      </x:c>
      <x:c r="O104" s="95" t="str">
        <x:v>D41-DROP-ZONE</x:v>
      </x:c>
      <x:c r="P104" s="95" t="str">
        <x:v>D41-STORES</x:v>
      </x:c>
      <x:c r="Q104" s="95" t="str">
        <x:v>Staff final delivery arrival</x:v>
      </x:c>
      <x:c r="R104" s="98" t="n">
        <x:v>46028.61751157408</x:v>
      </x:c>
      <x:c r="S104" s="95" t="str">
        <x:v>Generated timeframe stores task 3/3; spaced across staff hours 06:00-16:00; due by 16:00; AMR drop-off zone=D41-DROP-ZONE; final destination=D41-STORES</x:v>
      </x:c>
    </x:row>
    <x:row r="105" ht="42" customHeight="1">
      <x:c r="A105" s="95" t="str">
        <x:v>GEN_STORES_D42_01570</x:v>
      </x:c>
      <x:c r="B105" s="95" t="str"/>
      <x:c r="C105" s="95" t="str">
        <x:v>D42</x:v>
      </x:c>
      <x:c r="D105" s="95" t="str">
        <x:v>Stroke Inpatients</x:v>
      </x:c>
      <x:c r="E105" s="95" t="str">
        <x:v>L05</x:v>
      </x:c>
      <x:c r="F105" s="95" t="str">
        <x:v>Delivery</x:v>
      </x:c>
      <x:c r="G105" s="95" t="str">
        <x:v>timeframe</x:v>
      </x:c>
      <x:c r="H105" s="98" t="n">
        <x:v>46028.625231481485</x:v>
      </x:c>
      <x:c r="I105" s="98" t="n">
        <x:v>46028.636469907404</x:v>
      </x:c>
      <x:c r="J105" s="95" t="str">
        <x:v>Tue</x:v>
      </x:c>
      <x:c r="K105" s="95" t="n">
        <x:v>1</x:v>
      </x:c>
      <x:c r="L105" s="95" t="str">
        <x:v>Completed</x:v>
      </x:c>
      <x:c r="M105" s="95" t="str">
        <x:v>Goods Cage</x:v>
      </x:c>
      <x:c r="N105" s="95" t="str">
        <x:v>D49-STORES</x:v>
      </x:c>
      <x:c r="O105" s="95" t="str">
        <x:v>D41-DROP-ZONE</x:v>
      </x:c>
      <x:c r="P105" s="95" t="str">
        <x:v>D42-STORES</x:v>
      </x:c>
      <x:c r="Q105" s="95" t="str">
        <x:v>Staff final delivery arrival</x:v>
      </x:c>
      <x:c r="R105" s="98" t="n">
        <x:v>46028.636041666665</x:v>
      </x:c>
      <x:c r="S105" s="95" t="str">
        <x:v>Generated timeframe stores task 1/3; spaced across staff hours 06:00-16:00; due by 16:00; AMR drop-off zone=D41-DROP-ZONE; final destination=D42-STORES</x:v>
      </x:c>
    </x:row>
    <x:row r="106" ht="42" customHeight="1">
      <x:c r="A106" s="95" t="str">
        <x:v>GEN_STORES_D42_01571</x:v>
      </x:c>
      <x:c r="B106" s="95" t="str"/>
      <x:c r="C106" s="95" t="str">
        <x:v>D42</x:v>
      </x:c>
      <x:c r="D106" s="95" t="str">
        <x:v>Stroke Inpatients</x:v>
      </x:c>
      <x:c r="E106" s="95" t="str">
        <x:v>L05</x:v>
      </x:c>
      <x:c r="F106" s="95" t="str">
        <x:v>Delivery</x:v>
      </x:c>
      <x:c r="G106" s="95" t="str">
        <x:v>timeframe</x:v>
      </x:c>
      <x:c r="H106" s="98" t="n">
        <x:v>46028.63888888889</x:v>
      </x:c>
      <x:c r="I106" s="98" t="n">
        <x:v>46028.64900462963</x:v>
      </x:c>
      <x:c r="J106" s="95" t="str">
        <x:v>Tue</x:v>
      </x:c>
      <x:c r="K106" s="95" t="n">
        <x:v>1</x:v>
      </x:c>
      <x:c r="L106" s="95" t="str">
        <x:v>Completed</x:v>
      </x:c>
      <x:c r="M106" s="95" t="str">
        <x:v>Goods Cage</x:v>
      </x:c>
      <x:c r="N106" s="95" t="str">
        <x:v>D49-STORES</x:v>
      </x:c>
      <x:c r="O106" s="95" t="str">
        <x:v>D41-DROP-ZONE</x:v>
      </x:c>
      <x:c r="P106" s="95" t="str">
        <x:v>D42-STORES</x:v>
      </x:c>
      <x:c r="Q106" s="95" t="str">
        <x:v>Staff final delivery arrival</x:v>
      </x:c>
      <x:c r="R106" s="98" t="n">
        <x:v>46028.64857638889</x:v>
      </x:c>
      <x:c r="S106" s="95" t="str">
        <x:v>Generated timeframe stores task 2/3; spaced across staff hours 06:00-16:00; due by 16:00; AMR drop-off zone=D41-DROP-ZONE; final destination=D42-STORES</x:v>
      </x:c>
    </x:row>
    <x:row r="107" ht="42" customHeight="1">
      <x:c r="A107" s="95" t="str">
        <x:v>GEN_STORES_D42_01572</x:v>
      </x:c>
      <x:c r="B107" s="95" t="str"/>
      <x:c r="C107" s="95" t="str">
        <x:v>D42</x:v>
      </x:c>
      <x:c r="D107" s="95" t="str">
        <x:v>Stroke Inpatients</x:v>
      </x:c>
      <x:c r="E107" s="95" t="str">
        <x:v>L05</x:v>
      </x:c>
      <x:c r="F107" s="95" t="str">
        <x:v>Delivery</x:v>
      </x:c>
      <x:c r="G107" s="95" t="str">
        <x:v>timeframe</x:v>
      </x:c>
      <x:c r="H107" s="98" t="n">
        <x:v>46028.65277777778</x:v>
      </x:c>
      <x:c r="I107" s="98" t="n">
        <x:v>46028.65940972222</x:v>
      </x:c>
      <x:c r="J107" s="95" t="str">
        <x:v>Tue</x:v>
      </x:c>
      <x:c r="K107" s="95" t="n">
        <x:v>1</x:v>
      </x:c>
      <x:c r="L107" s="95" t="str">
        <x:v>Completed</x:v>
      </x:c>
      <x:c r="M107" s="95" t="str">
        <x:v>Goods Cage</x:v>
      </x:c>
      <x:c r="N107" s="95" t="str">
        <x:v>D49-STORES</x:v>
      </x:c>
      <x:c r="O107" s="95" t="str">
        <x:v>D41-DROP-ZONE</x:v>
      </x:c>
      <x:c r="P107" s="95" t="str">
        <x:v>D42-STORES</x:v>
      </x:c>
      <x:c r="Q107" s="95" t="str">
        <x:v>Staff final delivery arrival</x:v>
      </x:c>
      <x:c r="R107" s="98" t="n">
        <x:v>46028.65899305556</x:v>
      </x:c>
      <x:c r="S107" s="95" t="str">
        <x:v>Generated timeframe stores task 3/3; spaced across staff hours 06:00-16:00; due by 16:00; AMR drop-off zone=D41-DROP-ZONE; final destination=D42-STORES</x:v>
      </x:c>
    </x:row>
    <x:row r="108" ht="42" customHeight="1">
      <x:c r="A108" s="95" t="str">
        <x:v>GEN_STORES_D43_01891</x:v>
      </x:c>
      <x:c r="B108" s="95" t="str"/>
      <x:c r="C108" s="95" t="str">
        <x:v>D43</x:v>
      </x:c>
      <x:c r="D108" s="95" t="str">
        <x:v>Adult Inpatients 9</x:v>
      </x:c>
      <x:c r="E108" s="95" t="str">
        <x:v>L05</x:v>
      </x:c>
      <x:c r="F108" s="95" t="str">
        <x:v>Delivery</x:v>
      </x:c>
      <x:c r="G108" s="95" t="str">
        <x:v>timeframe</x:v>
      </x:c>
      <x:c r="H108" s="98" t="n">
        <x:v>46029.52777777778</x:v>
      </x:c>
      <x:c r="I108" s="98" t="n">
        <x:v>46029.534837962965</x:v>
      </x:c>
      <x:c r="J108" s="95" t="str">
        <x:v>Wed</x:v>
      </x:c>
      <x:c r="K108" s="95" t="n">
        <x:v>1</x:v>
      </x:c>
      <x:c r="L108" s="95" t="str">
        <x:v>Completed</x:v>
      </x:c>
      <x:c r="M108" s="95" t="str">
        <x:v>Goods Cage</x:v>
      </x:c>
      <x:c r="N108" s="95" t="str">
        <x:v>D49-STORES</x:v>
      </x:c>
      <x:c r="O108" s="95" t="str">
        <x:v>D43-DROP-ZONE</x:v>
      </x:c>
      <x:c r="P108" s="95" t="str">
        <x:v>D43-STORES</x:v>
      </x:c>
      <x:c r="Q108" s="95" t="str">
        <x:v>Staff final delivery arrival</x:v>
      </x:c>
      <x:c r="R108" s="98" t="n">
        <x:v>46029.5343287037</x:v>
      </x:c>
      <x:c r="S108" s="95" t="str">
        <x:v>Generated timeframe stores task 1/3; spaced across staff hours 06:00-16:00; due by 16:00; AMR drop-off zone=D43-DROP-ZONE; final destination=D43-STORES</x:v>
      </x:c>
    </x:row>
    <x:row r="109" ht="42" customHeight="1">
      <x:c r="A109" s="95" t="str">
        <x:v>GEN_STORES_D43_01892</x:v>
      </x:c>
      <x:c r="B109" s="95" t="str"/>
      <x:c r="C109" s="95" t="str">
        <x:v>D43</x:v>
      </x:c>
      <x:c r="D109" s="95" t="str">
        <x:v>Adult Inpatients 9</x:v>
      </x:c>
      <x:c r="E109" s="95" t="str">
        <x:v>L05</x:v>
      </x:c>
      <x:c r="F109" s="95" t="str">
        <x:v>Delivery</x:v>
      </x:c>
      <x:c r="G109" s="95" t="str">
        <x:v>timeframe</x:v>
      </x:c>
      <x:c r="H109" s="98" t="n">
        <x:v>46029.55092592593</x:v>
      </x:c>
      <x:c r="I109" s="98" t="n">
        <x:v>46029.5553125</x:v>
      </x:c>
      <x:c r="J109" s="95" t="str">
        <x:v>Wed</x:v>
      </x:c>
      <x:c r="K109" s="95" t="n">
        <x:v>1</x:v>
      </x:c>
      <x:c r="L109" s="95" t="str">
        <x:v>Completed</x:v>
      </x:c>
      <x:c r="M109" s="95" t="str">
        <x:v>Goods Cage</x:v>
      </x:c>
      <x:c r="N109" s="95" t="str">
        <x:v>D49-STORES</x:v>
      </x:c>
      <x:c r="O109" s="95" t="str">
        <x:v>D43-DROP-ZONE</x:v>
      </x:c>
      <x:c r="P109" s="95" t="str">
        <x:v>D43-STORES</x:v>
      </x:c>
      <x:c r="Q109" s="95" t="str">
        <x:v>Staff final delivery arrival</x:v>
      </x:c>
      <x:c r="R109" s="98" t="n">
        <x:v>46029.554814814815</x:v>
      </x:c>
      <x:c r="S109" s="95" t="str">
        <x:v>Generated timeframe stores task 2/3; spaced across staff hours 06:00-16:00; due by 16:00; AMR drop-off zone=D43-DROP-ZONE; final destination=D43-STORES</x:v>
      </x:c>
    </x:row>
    <x:row r="110" ht="42" customHeight="1">
      <x:c r="A110" s="95" t="str">
        <x:v>GEN_STORES_D43_01894</x:v>
      </x:c>
      <x:c r="B110" s="95" t="str"/>
      <x:c r="C110" s="95" t="str">
        <x:v>D43</x:v>
      </x:c>
      <x:c r="D110" s="95" t="str">
        <x:v>Adult Inpatients 9</x:v>
      </x:c>
      <x:c r="E110" s="95" t="str">
        <x:v>L05</x:v>
      </x:c>
      <x:c r="F110" s="95" t="str">
        <x:v>Delivery</x:v>
      </x:c>
      <x:c r="G110" s="95" t="str">
        <x:v>timeframe</x:v>
      </x:c>
      <x:c r="H110" s="98" t="n">
        <x:v>46029.57407407407</x:v>
      </x:c>
      <x:c r="I110" s="98" t="n">
        <x:v>46029.59195601852</x:v>
      </x:c>
      <x:c r="J110" s="95" t="str">
        <x:v>Wed</x:v>
      </x:c>
      <x:c r="K110" s="95" t="n">
        <x:v>1</x:v>
      </x:c>
      <x:c r="L110" s="95" t="str">
        <x:v>Completed</x:v>
      </x:c>
      <x:c r="M110" s="95" t="str">
        <x:v>Goods Cage</x:v>
      </x:c>
      <x:c r="N110" s="95" t="str">
        <x:v>D49-STORES</x:v>
      </x:c>
      <x:c r="O110" s="95" t="str">
        <x:v>D43-DROP-ZONE</x:v>
      </x:c>
      <x:c r="P110" s="95" t="str">
        <x:v>D43-STORES</x:v>
      </x:c>
      <x:c r="Q110" s="95" t="str">
        <x:v>Staff final delivery arrival</x:v>
      </x:c>
      <x:c r="R110" s="98" t="n">
        <x:v>46029.59144675926</x:v>
      </x:c>
      <x:c r="S110" s="95" t="str">
        <x:v>Generated timeframe stores task 3/3; spaced across staff hours 06:00-16:00; due by 16:00; AMR drop-off zone=D43-DROP-ZONE; final destination=D43-STORES</x:v>
      </x:c>
    </x:row>
    <x:row r="111" ht="42" customHeight="1">
      <x:c r="A111" s="95" t="str">
        <x:v>GEN_STORES_D44_01190</x:v>
      </x:c>
      <x:c r="B111" s="95" t="str"/>
      <x:c r="C111" s="95" t="str">
        <x:v>D44</x:v>
      </x:c>
      <x:c r="D111" s="95" t="str">
        <x:v>OPD3</x:v>
      </x:c>
      <x:c r="E111" s="95" t="str">
        <x:v>L00</x:v>
      </x:c>
      <x:c r="F111" s="95" t="str">
        <x:v>Delivery</x:v>
      </x:c>
      <x:c r="G111" s="95" t="str">
        <x:v>timeframe</x:v>
      </x:c>
      <x:c r="H111" s="98" t="n">
        <x:v>46027.5984837963</x:v>
      </x:c>
      <x:c r="I111" s="98" t="n">
        <x:v>46027.64125</x:v>
      </x:c>
      <x:c r="J111" s="95" t="str">
        <x:v>Mon</x:v>
      </x:c>
      <x:c r="K111" s="95" t="n">
        <x:v>1</x:v>
      </x:c>
      <x:c r="L111" s="95" t="str">
        <x:v>Completed</x:v>
      </x:c>
      <x:c r="M111" s="95" t="str">
        <x:v>Goods Cage</x:v>
      </x:c>
      <x:c r="N111" s="95" t="str">
        <x:v>D49-STORES</x:v>
      </x:c>
      <x:c r="O111" s="95" t="str">
        <x:v>D44-STORES</x:v>
      </x:c>
      <x:c r="P111" s="95" t="str">
        <x:v>D44-STORES</x:v>
      </x:c>
      <x:c r="Q111" s="95" t="str">
        <x:v>AMR drop-off completed</x:v>
      </x:c>
      <x:c r="R111" s="98" t="n">
        <x:v>46027.64125</x:v>
      </x:c>
      <x:c r="S111" s="95" t="str">
        <x:v>Generated timeframe stores task 1/3; spaced across staff hours 07:00-16:00; due by 16:00</x:v>
      </x:c>
    </x:row>
    <x:row r="112" ht="42" customHeight="1">
      <x:c r="A112" s="95" t="str">
        <x:v>GEN_STORES_D44_01194</x:v>
      </x:c>
      <x:c r="B112" s="95" t="str"/>
      <x:c r="C112" s="95" t="str">
        <x:v>D44</x:v>
      </x:c>
      <x:c r="D112" s="95" t="str">
        <x:v>OPD3</x:v>
      </x:c>
      <x:c r="E112" s="95" t="str">
        <x:v>L00</x:v>
      </x:c>
      <x:c r="F112" s="95" t="str">
        <x:v>Delivery</x:v>
      </x:c>
      <x:c r="G112" s="95" t="str">
        <x:v>timeframe</x:v>
      </x:c>
      <x:c r="H112" s="98" t="n">
        <x:v>46027.60983796296</x:v>
      </x:c>
      <x:c r="I112" s="98" t="n">
        <x:v>46027.64199074074</x:v>
      </x:c>
      <x:c r="J112" s="95" t="str">
        <x:v>Mon</x:v>
      </x:c>
      <x:c r="K112" s="95" t="n">
        <x:v>1</x:v>
      </x:c>
      <x:c r="L112" s="95" t="str">
        <x:v>Completed</x:v>
      </x:c>
      <x:c r="M112" s="95" t="str">
        <x:v>Goods Cage</x:v>
      </x:c>
      <x:c r="N112" s="95" t="str">
        <x:v>D49-STORES</x:v>
      </x:c>
      <x:c r="O112" s="95" t="str">
        <x:v>D44-STORES</x:v>
      </x:c>
      <x:c r="P112" s="95" t="str">
        <x:v>D44-STORES</x:v>
      </x:c>
      <x:c r="Q112" s="95" t="str">
        <x:v>AMR drop-off completed</x:v>
      </x:c>
      <x:c r="R112" s="98" t="n">
        <x:v>46027.64199074074</x:v>
      </x:c>
      <x:c r="S112" s="95" t="str">
        <x:v>Generated timeframe stores task 2/3; spaced across staff hours 07:00-16:00; due by 16:00</x:v>
      </x:c>
    </x:row>
    <x:row r="113" ht="42" customHeight="1">
      <x:c r="A113" s="95" t="str">
        <x:v>GEN_STORES_D44_01196</x:v>
      </x:c>
      <x:c r="B113" s="95" t="str"/>
      <x:c r="C113" s="95" t="str">
        <x:v>D44</x:v>
      </x:c>
      <x:c r="D113" s="95" t="str">
        <x:v>OPD3</x:v>
      </x:c>
      <x:c r="E113" s="95" t="str">
        <x:v>L00</x:v>
      </x:c>
      <x:c r="F113" s="95" t="str">
        <x:v>Delivery</x:v>
      </x:c>
      <x:c r="G113" s="95" t="str">
        <x:v>timeframe</x:v>
      </x:c>
      <x:c r="H113" s="98" t="n">
        <x:v>46027.621203703704</x:v>
      </x:c>
      <x:c r="I113" s="98" t="n">
        <x:v>46027.64277777778</x:v>
      </x:c>
      <x:c r="J113" s="95" t="str">
        <x:v>Mon</x:v>
      </x:c>
      <x:c r="K113" s="95" t="n">
        <x:v>1</x:v>
      </x:c>
      <x:c r="L113" s="95" t="str">
        <x:v>Completed</x:v>
      </x:c>
      <x:c r="M113" s="95" t="str">
        <x:v>Goods Cage</x:v>
      </x:c>
      <x:c r="N113" s="95" t="str">
        <x:v>D49-STORES</x:v>
      </x:c>
      <x:c r="O113" s="95" t="str">
        <x:v>D44-STORES</x:v>
      </x:c>
      <x:c r="P113" s="95" t="str">
        <x:v>D44-STORES</x:v>
      </x:c>
      <x:c r="Q113" s="95" t="str">
        <x:v>AMR drop-off completed</x:v>
      </x:c>
      <x:c r="R113" s="98" t="n">
        <x:v>46027.64277777778</x:v>
      </x:c>
      <x:c r="S113" s="95" t="str">
        <x:v>Generated timeframe stores task 3/3; spaced across staff hours 07:00-16:00; due by 16:00</x:v>
      </x:c>
    </x:row>
    <x:row r="114" ht="42" customHeight="1">
      <x:c r="A114" s="95" t="str">
        <x:v>GEN_STORES_D46_01898</x:v>
      </x:c>
      <x:c r="B114" s="95" t="str"/>
      <x:c r="C114" s="95" t="str">
        <x:v>D46</x:v>
      </x:c>
      <x:c r="D114" s="95" t="str">
        <x:v>Surgical Ward</x:v>
      </x:c>
      <x:c r="E114" s="95" t="str">
        <x:v>L01</x:v>
      </x:c>
      <x:c r="F114" s="95" t="str">
        <x:v>Delivery</x:v>
      </x:c>
      <x:c r="G114" s="95" t="str">
        <x:v>timeframe</x:v>
      </x:c>
      <x:c r="H114" s="98" t="n">
        <x:v>46029.59722222222</x:v>
      </x:c>
      <x:c r="I114" s="98" t="n">
        <x:v>46029.608506944445</x:v>
      </x:c>
      <x:c r="J114" s="95" t="str">
        <x:v>Wed</x:v>
      </x:c>
      <x:c r="K114" s="95" t="n">
        <x:v>1</x:v>
      </x:c>
      <x:c r="L114" s="95" t="str">
        <x:v>Completed</x:v>
      </x:c>
      <x:c r="M114" s="95" t="str">
        <x:v>Goods Cage</x:v>
      </x:c>
      <x:c r="N114" s="95" t="str">
        <x:v>D49-STORES</x:v>
      </x:c>
      <x:c r="O114" s="95" t="str">
        <x:v>D21-STORES</x:v>
      </x:c>
      <x:c r="P114" s="95" t="str">
        <x:v>D21-STORES</x:v>
      </x:c>
      <x:c r="Q114" s="95" t="str">
        <x:v>AMR drop-off completed</x:v>
      </x:c>
      <x:c r="R114" s="98" t="n">
        <x:v>46029.608506944445</x:v>
      </x:c>
      <x:c r="S114" s="95" t="str">
        <x:v>Generated timeframe stores task 1/3; spaced across staff hours 06:00-16:00; due by 16:00</x:v>
      </x:c>
    </x:row>
    <x:row r="115" ht="42" customHeight="1">
      <x:c r="A115" s="95" t="str">
        <x:v>GEN_STORES_D46_01902</x:v>
      </x:c>
      <x:c r="B115" s="95" t="str"/>
      <x:c r="C115" s="95" t="str">
        <x:v>D46</x:v>
      </x:c>
      <x:c r="D115" s="95" t="str">
        <x:v>Surgical Ward</x:v>
      </x:c>
      <x:c r="E115" s="95" t="str">
        <x:v>L01</x:v>
      </x:c>
      <x:c r="F115" s="95" t="str">
        <x:v>Delivery</x:v>
      </x:c>
      <x:c r="G115" s="95" t="str">
        <x:v>timeframe</x:v>
      </x:c>
      <x:c r="H115" s="98" t="n">
        <x:v>46029.62037037037</x:v>
      </x:c>
      <x:c r="I115" s="98" t="n">
        <x:v>46029.66011574074</x:v>
      </x:c>
      <x:c r="J115" s="95" t="str">
        <x:v>Wed</x:v>
      </x:c>
      <x:c r="K115" s="95" t="n">
        <x:v>1</x:v>
      </x:c>
      <x:c r="L115" s="95" t="str">
        <x:v>Completed</x:v>
      </x:c>
      <x:c r="M115" s="95" t="str">
        <x:v>Goods Cage</x:v>
      </x:c>
      <x:c r="N115" s="95" t="str">
        <x:v>D49-STORES</x:v>
      </x:c>
      <x:c r="O115" s="95" t="str">
        <x:v>D21-STORES</x:v>
      </x:c>
      <x:c r="P115" s="95" t="str">
        <x:v>D21-STORES</x:v>
      </x:c>
      <x:c r="Q115" s="95" t="str">
        <x:v>AMR drop-off completed</x:v>
      </x:c>
      <x:c r="R115" s="98" t="n">
        <x:v>46029.66011574074</x:v>
      </x:c>
      <x:c r="S115" s="95" t="str">
        <x:v>Generated timeframe stores task 2/3; spaced across staff hours 06:00-16:00; due by 16:00</x:v>
      </x:c>
    </x:row>
    <x:row r="116" ht="42" customHeight="1">
      <x:c r="A116" s="95" t="str">
        <x:v>GEN_STORES_D46_01904</x:v>
      </x:c>
      <x:c r="B116" s="95" t="str"/>
      <x:c r="C116" s="95" t="str">
        <x:v>D46</x:v>
      </x:c>
      <x:c r="D116" s="95" t="str">
        <x:v>Surgical Ward</x:v>
      </x:c>
      <x:c r="E116" s="95" t="str">
        <x:v>L01</x:v>
      </x:c>
      <x:c r="F116" s="95" t="str">
        <x:v>Delivery</x:v>
      </x:c>
      <x:c r="G116" s="95" t="str">
        <x:v>timeframe</x:v>
      </x:c>
      <x:c r="H116" s="98" t="n">
        <x:v>46029.64351851852</x:v>
      </x:c>
      <x:c r="I116" s="98" t="n">
        <x:v>46029.660775462966</x:v>
      </x:c>
      <x:c r="J116" s="95" t="str">
        <x:v>Wed</x:v>
      </x:c>
      <x:c r="K116" s="95" t="n">
        <x:v>1</x:v>
      </x:c>
      <x:c r="L116" s="95" t="str">
        <x:v>Completed</x:v>
      </x:c>
      <x:c r="M116" s="95" t="str">
        <x:v>Goods Cage</x:v>
      </x:c>
      <x:c r="N116" s="95" t="str">
        <x:v>D49-STORES</x:v>
      </x:c>
      <x:c r="O116" s="95" t="str">
        <x:v>D21-STORES</x:v>
      </x:c>
      <x:c r="P116" s="95" t="str">
        <x:v>D21-STORES</x:v>
      </x:c>
      <x:c r="Q116" s="95" t="str">
        <x:v>AMR drop-off completed</x:v>
      </x:c>
      <x:c r="R116" s="98" t="n">
        <x:v>46029.660775462966</x:v>
      </x:c>
      <x:c r="S116" s="95" t="str">
        <x:v>Generated timeframe stores task 3/3; spaced across staff hours 06:00-16:00; due by 16:00</x:v>
      </x:c>
    </x:row>
    <x:row r="117" ht="42" customHeight="1">
      <x:c r="A117" s="95" t="str">
        <x:v>GEN_STORES_D4_01197</x:v>
      </x:c>
      <x:c r="B117" s="95" t="str"/>
      <x:c r="C117" s="95" t="str">
        <x:v>D4</x:v>
      </x:c>
      <x:c r="D117" s="95" t="str">
        <x:v>OPD1</x:v>
      </x:c>
      <x:c r="E117" s="95" t="str">
        <x:v>L00</x:v>
      </x:c>
      <x:c r="F117" s="95" t="str">
        <x:v>Delivery</x:v>
      </x:c>
      <x:c r="G117" s="95" t="str">
        <x:v>timeframe</x:v>
      </x:c>
      <x:c r="H117" s="98" t="n">
        <x:v>46027.632569444446</x:v>
      </x:c>
      <x:c r="I117" s="98" t="n">
        <x:v>46027.648888888885</x:v>
      </x:c>
      <x:c r="J117" s="95" t="str">
        <x:v>Mon</x:v>
      </x:c>
      <x:c r="K117" s="95" t="n">
        <x:v>1</x:v>
      </x:c>
      <x:c r="L117" s="95" t="str">
        <x:v>Completed</x:v>
      </x:c>
      <x:c r="M117" s="95" t="str">
        <x:v>Goods Cage</x:v>
      </x:c>
      <x:c r="N117" s="95" t="str">
        <x:v>D49-STORES</x:v>
      </x:c>
      <x:c r="O117" s="95" t="str">
        <x:v>D4-STORES</x:v>
      </x:c>
      <x:c r="P117" s="95" t="str">
        <x:v>D4-STORES</x:v>
      </x:c>
      <x:c r="Q117" s="95" t="str">
        <x:v>AMR drop-off completed</x:v>
      </x:c>
      <x:c r="R117" s="98" t="n">
        <x:v>46027.648888888885</x:v>
      </x:c>
      <x:c r="S117" s="95" t="str">
        <x:v>Generated timeframe stores task 1/3; spaced across staff hours 07:00-16:00; due by 16:00</x:v>
      </x:c>
    </x:row>
    <x:row r="118" ht="42" customHeight="1">
      <x:c r="A118" s="95" t="str">
        <x:v>GEN_STORES_D4_01198</x:v>
      </x:c>
      <x:c r="B118" s="95" t="str"/>
      <x:c r="C118" s="95" t="str">
        <x:v>D4</x:v>
      </x:c>
      <x:c r="D118" s="95" t="str">
        <x:v>OPD1</x:v>
      </x:c>
      <x:c r="E118" s="95" t="str">
        <x:v>L00</x:v>
      </x:c>
      <x:c r="F118" s="95" t="str">
        <x:v>Delivery</x:v>
      </x:c>
      <x:c r="G118" s="95" t="str">
        <x:v>timeframe</x:v>
      </x:c>
      <x:c r="H118" s="98" t="n">
        <x:v>46027.64393518519</x:v>
      </x:c>
      <x:c r="I118" s="98" t="n">
        <x:v>46027.6502662037</x:v>
      </x:c>
      <x:c r="J118" s="95" t="str">
        <x:v>Mon</x:v>
      </x:c>
      <x:c r="K118" s="95" t="n">
        <x:v>1</x:v>
      </x:c>
      <x:c r="L118" s="95" t="str">
        <x:v>Completed</x:v>
      </x:c>
      <x:c r="M118" s="95" t="str">
        <x:v>Goods Cage</x:v>
      </x:c>
      <x:c r="N118" s="95" t="str">
        <x:v>D49-STORES</x:v>
      </x:c>
      <x:c r="O118" s="95" t="str">
        <x:v>D4-STORES</x:v>
      </x:c>
      <x:c r="P118" s="95" t="str">
        <x:v>D4-STORES</x:v>
      </x:c>
      <x:c r="Q118" s="95" t="str">
        <x:v>AMR drop-off completed</x:v>
      </x:c>
      <x:c r="R118" s="98" t="n">
        <x:v>46027.6502662037</x:v>
      </x:c>
      <x:c r="S118" s="95" t="str">
        <x:v>Generated timeframe stores task 2/3; spaced across staff hours 07:00-16:00; due by 16:00</x:v>
      </x:c>
    </x:row>
    <x:row r="119" ht="42" customHeight="1">
      <x:c r="A119" s="95" t="str">
        <x:v>GEN_STORES_D4_01199</x:v>
      </x:c>
      <x:c r="B119" s="95" t="str"/>
      <x:c r="C119" s="95" t="str">
        <x:v>D4</x:v>
      </x:c>
      <x:c r="D119" s="95" t="str">
        <x:v>OPD1</x:v>
      </x:c>
      <x:c r="E119" s="95" t="str">
        <x:v>L00</x:v>
      </x:c>
      <x:c r="F119" s="95" t="str">
        <x:v>Delivery</x:v>
      </x:c>
      <x:c r="G119" s="95" t="str">
        <x:v>timeframe</x:v>
      </x:c>
      <x:c r="H119" s="98" t="n">
        <x:v>46027.65530092592</x:v>
      </x:c>
      <x:c r="I119" s="98" t="n">
        <x:v>46027.659375</x:v>
      </x:c>
      <x:c r="J119" s="95" t="str">
        <x:v>Mon</x:v>
      </x:c>
      <x:c r="K119" s="95" t="n">
        <x:v>1</x:v>
      </x:c>
      <x:c r="L119" s="95" t="str">
        <x:v>Completed</x:v>
      </x:c>
      <x:c r="M119" s="95" t="str">
        <x:v>Goods Cage</x:v>
      </x:c>
      <x:c r="N119" s="95" t="str">
        <x:v>D49-STORES</x:v>
      </x:c>
      <x:c r="O119" s="95" t="str">
        <x:v>D4-STORES</x:v>
      </x:c>
      <x:c r="P119" s="95" t="str">
        <x:v>D4-STORES</x:v>
      </x:c>
      <x:c r="Q119" s="95" t="str">
        <x:v>AMR drop-off completed</x:v>
      </x:c>
      <x:c r="R119" s="98" t="n">
        <x:v>46027.659375</x:v>
      </x:c>
      <x:c r="S119" s="95" t="str">
        <x:v>Generated timeframe stores task 3/3; spaced across staff hours 07:00-16:00; due by 16:00</x:v>
      </x:c>
    </x:row>
    <x:row r="120" ht="42" customHeight="1">
      <x:c r="A120" s="95" t="str">
        <x:v>RETURN-GEN_STORES_D10_01670-1666</x:v>
      </x:c>
      <x:c r="B120" s="95" t="str">
        <x:v>GEN_STORES_D10_01670</x:v>
      </x:c>
      <x:c r="C120" s="95" t="str">
        <x:v>D10</x:v>
      </x:c>
      <x:c r="D120" s="95" t="str">
        <x:v>Minor Injuries</x:v>
      </x:c>
      <x:c r="E120" s="95" t="str">
        <x:v>L00</x:v>
      </x:c>
      <x:c r="F120" s="95" t="str">
        <x:v>Collection</x:v>
      </x:c>
      <x:c r="G120" s="95" t="str">
        <x:v>return</x:v>
      </x:c>
      <x:c r="H120" s="98" t="n">
        <x:v>46029.29605324074</x:v>
      </x:c>
      <x:c r="I120" s="98" t="n">
        <x:v>46029.29628472222</x:v>
      </x:c>
      <x:c r="J120" s="95" t="str">
        <x:v>Wed</x:v>
      </x:c>
      <x:c r="K120" s="95" t="n">
        <x:v>1</x:v>
      </x:c>
      <x:c r="L120" s="95" t="str">
        <x:v>Completed</x:v>
      </x:c>
      <x:c r="M120" s="95" t="str">
        <x:v>Goods Cage</x:v>
      </x:c>
      <x:c r="N120" s="95" t="str">
        <x:v>D3-DROP-ZONE</x:v>
      </x:c>
      <x:c r="O120" s="95" t="str">
        <x:v>D49-STORES</x:v>
      </x:c>
      <x:c r="P120" s="95" t="str">
        <x:v>D49-STORES</x:v>
      </x:c>
      <x:c r="Q120" s="95" t="str">
        <x:v>AMR pickup completed</x:v>
      </x:c>
      <x:c r="R120" s="98" t="n">
        <x:v>46029.29628472222</x:v>
      </x:c>
      <x:c r="S120" s="95" t="str">
        <x:v>Generated delayed return for GEN_STORES_D10_01670</x:v>
      </x:c>
    </x:row>
    <x:row r="121" ht="42" customHeight="1">
      <x:c r="A121" s="95" t="str">
        <x:v>RETURN-GEN_STORES_D10_01671-1667</x:v>
      </x:c>
      <x:c r="B121" s="95" t="str">
        <x:v>GEN_STORES_D10_01671</x:v>
      </x:c>
      <x:c r="C121" s="95" t="str">
        <x:v>D10</x:v>
      </x:c>
      <x:c r="D121" s="95" t="str">
        <x:v>Minor Injuries</x:v>
      </x:c>
      <x:c r="E121" s="95" t="str">
        <x:v>L00</x:v>
      </x:c>
      <x:c r="F121" s="95" t="str">
        <x:v>Collection</x:v>
      </x:c>
      <x:c r="G121" s="95" t="str">
        <x:v>return</x:v>
      </x:c>
      <x:c r="H121" s="98" t="n">
        <x:v>46029.32677083334</x:v>
      </x:c>
      <x:c r="I121" s="98" t="n">
        <x:v>46029.65769675926</x:v>
      </x:c>
      <x:c r="J121" s="95" t="str">
        <x:v>Wed</x:v>
      </x:c>
      <x:c r="K121" s="95" t="n">
        <x:v>1</x:v>
      </x:c>
      <x:c r="L121" s="95" t="str">
        <x:v>Completed</x:v>
      </x:c>
      <x:c r="M121" s="95" t="str">
        <x:v>Goods Cage</x:v>
      </x:c>
      <x:c r="N121" s="95" t="str">
        <x:v>D3-DROP-ZONE</x:v>
      </x:c>
      <x:c r="O121" s="95" t="str">
        <x:v>D49-STORES</x:v>
      </x:c>
      <x:c r="P121" s="95" t="str">
        <x:v>D49-STORES</x:v>
      </x:c>
      <x:c r="Q121" s="95" t="str">
        <x:v>AMR pickup completed</x:v>
      </x:c>
      <x:c r="R121" s="98" t="n">
        <x:v>46029.65769675926</x:v>
      </x:c>
      <x:c r="S121" s="95" t="str">
        <x:v>Generated delayed return for GEN_STORES_D10_01671</x:v>
      </x:c>
    </x:row>
    <x:row r="122" ht="42" customHeight="1">
      <x:c r="A122" s="95" t="str">
        <x:v>RETURN-GEN_STORES_D10_01672-1668</x:v>
      </x:c>
      <x:c r="B122" s="95" t="str">
        <x:v>GEN_STORES_D10_01672</x:v>
      </x:c>
      <x:c r="C122" s="95" t="str">
        <x:v>D10</x:v>
      </x:c>
      <x:c r="D122" s="95" t="str">
        <x:v>Minor Injuries</x:v>
      </x:c>
      <x:c r="E122" s="95" t="str">
        <x:v>L00</x:v>
      </x:c>
      <x:c r="F122" s="95" t="str">
        <x:v>Collection</x:v>
      </x:c>
      <x:c r="G122" s="95" t="str">
        <x:v>return</x:v>
      </x:c>
      <x:c r="H122" s="98" t="n">
        <x:v>46029.347604166665</x:v>
      </x:c>
      <x:c r="I122" s="98" t="n">
        <x:v>46029.348275462966</x:v>
      </x:c>
      <x:c r="J122" s="95" t="str">
        <x:v>Wed</x:v>
      </x:c>
      <x:c r="K122" s="95" t="n">
        <x:v>1</x:v>
      </x:c>
      <x:c r="L122" s="95" t="str">
        <x:v>Completed</x:v>
      </x:c>
      <x:c r="M122" s="95" t="str">
        <x:v>Goods Cage</x:v>
      </x:c>
      <x:c r="N122" s="95" t="str">
        <x:v>D3-DROP-ZONE</x:v>
      </x:c>
      <x:c r="O122" s="95" t="str">
        <x:v>D49-STORES</x:v>
      </x:c>
      <x:c r="P122" s="95" t="str">
        <x:v>D49-STORES</x:v>
      </x:c>
      <x:c r="Q122" s="95" t="str">
        <x:v>AMR pickup completed</x:v>
      </x:c>
      <x:c r="R122" s="98" t="n">
        <x:v>46029.348275462966</x:v>
      </x:c>
      <x:c r="S122" s="95" t="str">
        <x:v>Generated delayed return for GEN_STORES_D10_01672</x:v>
      </x:c>
    </x:row>
    <x:row r="123" ht="42" customHeight="1">
      <x:c r="A123" s="95" t="str">
        <x:v>RETURN-GEN_STORES_D11_01308-1397</x:v>
      </x:c>
      <x:c r="B123" s="95" t="str">
        <x:v>GEN_STORES_D11_01308</x:v>
      </x:c>
      <x:c r="C123" s="95" t="str">
        <x:v>D11</x:v>
      </x:c>
      <x:c r="D123" s="95" t="str">
        <x:v>ED-Resus</x:v>
      </x:c>
      <x:c r="E123" s="95" t="str">
        <x:v>L00</x:v>
      </x:c>
      <x:c r="F123" s="95" t="str">
        <x:v>Collection</x:v>
      </x:c>
      <x:c r="G123" s="95" t="str">
        <x:v>return</x:v>
      </x:c>
      <x:c r="H123" s="98" t="n">
        <x:v>46028.264872685184</x:v>
      </x:c>
      <x:c r="I123" s="98" t="n">
        <x:v>46028.26689814815</x:v>
      </x:c>
      <x:c r="J123" s="95" t="str">
        <x:v>Tue</x:v>
      </x:c>
      <x:c r="K123" s="95" t="n">
        <x:v>1</x:v>
      </x:c>
      <x:c r="L123" s="95" t="str">
        <x:v>Completed</x:v>
      </x:c>
      <x:c r="M123" s="95" t="str">
        <x:v>Goods Cage</x:v>
      </x:c>
      <x:c r="N123" s="95" t="str">
        <x:v>D3-DROP-ZONE</x:v>
      </x:c>
      <x:c r="O123" s="95" t="str">
        <x:v>D49-STORES</x:v>
      </x:c>
      <x:c r="P123" s="95" t="str">
        <x:v>D49-STORES</x:v>
      </x:c>
      <x:c r="Q123" s="95" t="str">
        <x:v>AMR pickup completed</x:v>
      </x:c>
      <x:c r="R123" s="98" t="n">
        <x:v>46028.26689814815</x:v>
      </x:c>
      <x:c r="S123" s="95" t="str">
        <x:v>Generated delayed return for GEN_STORES_D11_01308</x:v>
      </x:c>
    </x:row>
    <x:row r="124" ht="42" customHeight="1">
      <x:c r="A124" s="95" t="str">
        <x:v>RETURN-GEN_STORES_D11_01309-1400</x:v>
      </x:c>
      <x:c r="B124" s="95" t="str">
        <x:v>GEN_STORES_D11_01309</x:v>
      </x:c>
      <x:c r="C124" s="95" t="str">
        <x:v>D11</x:v>
      </x:c>
      <x:c r="D124" s="95" t="str">
        <x:v>ED-Resus</x:v>
      </x:c>
      <x:c r="E124" s="95" t="str">
        <x:v>L00</x:v>
      </x:c>
      <x:c r="F124" s="95" t="str">
        <x:v>Collection</x:v>
      </x:c>
      <x:c r="G124" s="95" t="str">
        <x:v>return</x:v>
      </x:c>
      <x:c r="H124" s="98" t="n">
        <x:v>46028.285462962966</x:v>
      </x:c>
      <x:c r="I124" s="98" t="n">
        <x:v>46028.28569444444</x:v>
      </x:c>
      <x:c r="J124" s="95" t="str">
        <x:v>Tue</x:v>
      </x:c>
      <x:c r="K124" s="95" t="n">
        <x:v>1</x:v>
      </x:c>
      <x:c r="L124" s="95" t="str">
        <x:v>Completed</x:v>
      </x:c>
      <x:c r="M124" s="95" t="str">
        <x:v>Goods Cage</x:v>
      </x:c>
      <x:c r="N124" s="95" t="str">
        <x:v>D3-DROP-ZONE</x:v>
      </x:c>
      <x:c r="O124" s="95" t="str">
        <x:v>D49-STORES</x:v>
      </x:c>
      <x:c r="P124" s="95" t="str">
        <x:v>D49-STORES</x:v>
      </x:c>
      <x:c r="Q124" s="95" t="str">
        <x:v>AMR pickup completed</x:v>
      </x:c>
      <x:c r="R124" s="98" t="n">
        <x:v>46028.28569444444</x:v>
      </x:c>
      <x:c r="S124" s="95" t="str">
        <x:v>Generated delayed return for GEN_STORES_D11_01309</x:v>
      </x:c>
    </x:row>
    <x:row r="125" ht="42" customHeight="1">
      <x:c r="A125" s="95" t="str">
        <x:v>RETURN-GEN_STORES_D11_01310-1401</x:v>
      </x:c>
      <x:c r="B125" s="95" t="str">
        <x:v>GEN_STORES_D11_01310</x:v>
      </x:c>
      <x:c r="C125" s="95" t="str">
        <x:v>D11</x:v>
      </x:c>
      <x:c r="D125" s="95" t="str">
        <x:v>ED-Resus</x:v>
      </x:c>
      <x:c r="E125" s="95" t="str">
        <x:v>L00</x:v>
      </x:c>
      <x:c r="F125" s="95" t="str">
        <x:v>Collection</x:v>
      </x:c>
      <x:c r="G125" s="95" t="str">
        <x:v>return</x:v>
      </x:c>
      <x:c r="H125" s="98" t="n">
        <x:v>46028.296122685184</x:v>
      </x:c>
      <x:c r="I125" s="98" t="n">
        <x:v>46028.29635416667</x:v>
      </x:c>
      <x:c r="J125" s="95" t="str">
        <x:v>Tue</x:v>
      </x:c>
      <x:c r="K125" s="95" t="n">
        <x:v>1</x:v>
      </x:c>
      <x:c r="L125" s="95" t="str">
        <x:v>Completed</x:v>
      </x:c>
      <x:c r="M125" s="95" t="str">
        <x:v>Goods Cage</x:v>
      </x:c>
      <x:c r="N125" s="95" t="str">
        <x:v>D3-DROP-ZONE</x:v>
      </x:c>
      <x:c r="O125" s="95" t="str">
        <x:v>D49-STORES</x:v>
      </x:c>
      <x:c r="P125" s="95" t="str">
        <x:v>D49-STORES</x:v>
      </x:c>
      <x:c r="Q125" s="95" t="str">
        <x:v>AMR pickup completed</x:v>
      </x:c>
      <x:c r="R125" s="98" t="n">
        <x:v>46028.29635416667</x:v>
      </x:c>
      <x:c r="S125" s="95" t="str">
        <x:v>Generated delayed return for GEN_STORES_D11_01310</x:v>
      </x:c>
    </x:row>
    <x:row r="126" ht="42" customHeight="1">
      <x:c r="A126" s="95" t="str">
        <x:v>RETURN-GEN_STORES_D12_00272-394</x:v>
      </x:c>
      <x:c r="B126" s="95" t="str">
        <x:v>GEN_STORES_D12_00272</x:v>
      </x:c>
      <x:c r="C126" s="95" t="str">
        <x:v>D12</x:v>
      </x:c>
      <x:c r="D126" s="95" t="str">
        <x:v>ED-Majors</x:v>
      </x:c>
      <x:c r="E126" s="95" t="str">
        <x:v>L00</x:v>
      </x:c>
      <x:c r="F126" s="95" t="str">
        <x:v>Collection</x:v>
      </x:c>
      <x:c r="G126" s="95" t="str">
        <x:v>return</x:v>
      </x:c>
      <x:c r="H126" s="98" t="n">
        <x:v>46024.265069444446</x:v>
      </x:c>
      <x:c r="I126" s="98" t="n">
        <x:v>46024.267222222225</x:v>
      </x:c>
      <x:c r="J126" s="95" t="str">
        <x:v>Fri</x:v>
      </x:c>
      <x:c r="K126" s="95" t="n">
        <x:v>1</x:v>
      </x:c>
      <x:c r="L126" s="95" t="str">
        <x:v>Completed</x:v>
      </x:c>
      <x:c r="M126" s="95" t="str">
        <x:v>Goods Cage</x:v>
      </x:c>
      <x:c r="N126" s="95" t="str">
        <x:v>D3-DROP-ZONE</x:v>
      </x:c>
      <x:c r="O126" s="95" t="str">
        <x:v>D49-STORES</x:v>
      </x:c>
      <x:c r="P126" s="95" t="str">
        <x:v>D49-STORES</x:v>
      </x:c>
      <x:c r="Q126" s="95" t="str">
        <x:v>AMR pickup completed</x:v>
      </x:c>
      <x:c r="R126" s="98" t="n">
        <x:v>46024.267222222225</x:v>
      </x:c>
      <x:c r="S126" s="95" t="str">
        <x:v>Generated delayed return for GEN_STORES_D12_00272</x:v>
      </x:c>
    </x:row>
    <x:row r="127" ht="42" customHeight="1">
      <x:c r="A127" s="95" t="str">
        <x:v>RETURN-GEN_STORES_D12_00273-400</x:v>
      </x:c>
      <x:c r="B127" s="95" t="str">
        <x:v>GEN_STORES_D12_00273</x:v>
      </x:c>
      <x:c r="C127" s="95" t="str">
        <x:v>D12</x:v>
      </x:c>
      <x:c r="D127" s="95" t="str">
        <x:v>ED-Majors</x:v>
      </x:c>
      <x:c r="E127" s="95" t="str">
        <x:v>L00</x:v>
      </x:c>
      <x:c r="F127" s="95" t="str">
        <x:v>Collection</x:v>
      </x:c>
      <x:c r="G127" s="95" t="str">
        <x:v>return</x:v>
      </x:c>
      <x:c r="H127" s="98" t="n">
        <x:v>46024.28590277778</x:v>
      </x:c>
      <x:c r="I127" s="98" t="n">
        <x:v>46024.288310185184</x:v>
      </x:c>
      <x:c r="J127" s="95" t="str">
        <x:v>Fri</x:v>
      </x:c>
      <x:c r="K127" s="95" t="n">
        <x:v>1</x:v>
      </x:c>
      <x:c r="L127" s="95" t="str">
        <x:v>Completed</x:v>
      </x:c>
      <x:c r="M127" s="95" t="str">
        <x:v>Goods Cage</x:v>
      </x:c>
      <x:c r="N127" s="95" t="str">
        <x:v>D3-DROP-ZONE</x:v>
      </x:c>
      <x:c r="O127" s="95" t="str">
        <x:v>D49-STORES</x:v>
      </x:c>
      <x:c r="P127" s="95" t="str">
        <x:v>D49-STORES</x:v>
      </x:c>
      <x:c r="Q127" s="95" t="str">
        <x:v>AMR pickup completed</x:v>
      </x:c>
      <x:c r="R127" s="98" t="n">
        <x:v>46024.288310185184</x:v>
      </x:c>
      <x:c r="S127" s="95" t="str">
        <x:v>Generated delayed return for GEN_STORES_D12_00273</x:v>
      </x:c>
    </x:row>
    <x:row r="128" ht="42" customHeight="1">
      <x:c r="A128" s="95" t="str">
        <x:v>RETURN-GEN_STORES_D12_00274-403</x:v>
      </x:c>
      <x:c r="B128" s="95" t="str">
        <x:v>GEN_STORES_D12_00274</x:v>
      </x:c>
      <x:c r="C128" s="95" t="str">
        <x:v>D12</x:v>
      </x:c>
      <x:c r="D128" s="95" t="str">
        <x:v>ED-Majors</x:v>
      </x:c>
      <x:c r="E128" s="95" t="str">
        <x:v>L00</x:v>
      </x:c>
      <x:c r="F128" s="95" t="str">
        <x:v>Collection</x:v>
      </x:c>
      <x:c r="G128" s="95" t="str">
        <x:v>return</x:v>
      </x:c>
      <x:c r="H128" s="98" t="n">
        <x:v>46024.30673611111</x:v>
      </x:c>
      <x:c r="I128" s="98" t="n">
        <x:v>46024.30914351852</x:v>
      </x:c>
      <x:c r="J128" s="95" t="str">
        <x:v>Fri</x:v>
      </x:c>
      <x:c r="K128" s="95" t="n">
        <x:v>1</x:v>
      </x:c>
      <x:c r="L128" s="95" t="str">
        <x:v>Completed</x:v>
      </x:c>
      <x:c r="M128" s="95" t="str">
        <x:v>Goods Cage</x:v>
      </x:c>
      <x:c r="N128" s="95" t="str">
        <x:v>D3-DROP-ZONE</x:v>
      </x:c>
      <x:c r="O128" s="95" t="str">
        <x:v>D49-STORES</x:v>
      </x:c>
      <x:c r="P128" s="95" t="str">
        <x:v>D49-STORES</x:v>
      </x:c>
      <x:c r="Q128" s="95" t="str">
        <x:v>AMR pickup completed</x:v>
      </x:c>
      <x:c r="R128" s="98" t="n">
        <x:v>46024.30914351852</x:v>
      </x:c>
      <x:c r="S128" s="95" t="str">
        <x:v>Generated delayed return for GEN_STORES_D12_00274</x:v>
      </x:c>
    </x:row>
    <x:row r="129" ht="42" customHeight="1">
      <x:c r="A129" s="95" t="str">
        <x:v>RETURN-GEN_STORES_D12_01675-1671</x:v>
      </x:c>
      <x:c r="B129" s="95" t="str">
        <x:v>GEN_STORES_D12_01675</x:v>
      </x:c>
      <x:c r="C129" s="95" t="str">
        <x:v>D12</x:v>
      </x:c>
      <x:c r="D129" s="95" t="str">
        <x:v>ED-Majors</x:v>
      </x:c>
      <x:c r="E129" s="95" t="str">
        <x:v>L00</x:v>
      </x:c>
      <x:c r="F129" s="95" t="str">
        <x:v>Collection</x:v>
      </x:c>
      <x:c r="G129" s="95" t="str">
        <x:v>return</x:v>
      </x:c>
      <x:c r="H129" s="98" t="n">
        <x:v>46029.347604166665</x:v>
      </x:c>
      <x:c r="I129" s="98" t="n">
        <x:v>46029.348657407405</x:v>
      </x:c>
      <x:c r="J129" s="95" t="str">
        <x:v>Wed</x:v>
      </x:c>
      <x:c r="K129" s="95" t="n">
        <x:v>1</x:v>
      </x:c>
      <x:c r="L129" s="95" t="str">
        <x:v>Completed</x:v>
      </x:c>
      <x:c r="M129" s="95" t="str">
        <x:v>Goods Cage</x:v>
      </x:c>
      <x:c r="N129" s="95" t="str">
        <x:v>D3-DROP-ZONE</x:v>
      </x:c>
      <x:c r="O129" s="95" t="str">
        <x:v>D49-STORES</x:v>
      </x:c>
      <x:c r="P129" s="95" t="str">
        <x:v>D49-STORES</x:v>
      </x:c>
      <x:c r="Q129" s="95" t="str">
        <x:v>AMR pickup completed</x:v>
      </x:c>
      <x:c r="R129" s="98" t="n">
        <x:v>46029.348657407405</x:v>
      </x:c>
      <x:c r="S129" s="95" t="str">
        <x:v>Generated delayed return for GEN_STORES_D12_01675</x:v>
      </x:c>
    </x:row>
    <x:row r="130" ht="42" customHeight="1">
      <x:c r="A130" s="95" t="str">
        <x:v>RETURN-GEN_STORES_D12_01695-1690</x:v>
      </x:c>
      <x:c r="B130" s="95" t="str">
        <x:v>GEN_STORES_D12_01695</x:v>
      </x:c>
      <x:c r="C130" s="95" t="str">
        <x:v>D12</x:v>
      </x:c>
      <x:c r="D130" s="95" t="str">
        <x:v>ED-Majors</x:v>
      </x:c>
      <x:c r="E130" s="95" t="str">
        <x:v>L00</x:v>
      </x:c>
      <x:c r="F130" s="95" t="str">
        <x:v>Collection</x:v>
      </x:c>
      <x:c r="G130" s="95" t="str">
        <x:v>return</x:v>
      </x:c>
      <x:c r="H130" s="98" t="n">
        <x:v>46029.360555555555</x:v>
      </x:c>
      <x:c r="I130" s="98" t="n">
        <x:v>46029.36269675926</x:v>
      </x:c>
      <x:c r="J130" s="95" t="str">
        <x:v>Wed</x:v>
      </x:c>
      <x:c r="K130" s="95" t="n">
        <x:v>1</x:v>
      </x:c>
      <x:c r="L130" s="95" t="str">
        <x:v>Completed</x:v>
      </x:c>
      <x:c r="M130" s="95" t="str">
        <x:v>Goods Cage</x:v>
      </x:c>
      <x:c r="N130" s="95" t="str">
        <x:v>D3-DROP-ZONE</x:v>
      </x:c>
      <x:c r="O130" s="95" t="str">
        <x:v>D49-STORES</x:v>
      </x:c>
      <x:c r="P130" s="95" t="str">
        <x:v>D49-STORES</x:v>
      </x:c>
      <x:c r="Q130" s="95" t="str">
        <x:v>AMR pickup completed</x:v>
      </x:c>
      <x:c r="R130" s="98" t="n">
        <x:v>46029.36269675926</x:v>
      </x:c>
      <x:c r="S130" s="95" t="str">
        <x:v>Generated delayed return for GEN_STORES_D12_01695</x:v>
      </x:c>
    </x:row>
    <x:row r="131" ht="42" customHeight="1">
      <x:c r="A131" s="95" t="str">
        <x:v>RETURN-GEN_STORES_D12_01795-1693</x:v>
      </x:c>
      <x:c r="B131" s="95" t="str">
        <x:v>GEN_STORES_D12_01795</x:v>
      </x:c>
      <x:c r="C131" s="95" t="str">
        <x:v>D12</x:v>
      </x:c>
      <x:c r="D131" s="95" t="str">
        <x:v>ED-Majors</x:v>
      </x:c>
      <x:c r="E131" s="95" t="str">
        <x:v>L00</x:v>
      </x:c>
      <x:c r="F131" s="95" t="str">
        <x:v>Collection</x:v>
      </x:c>
      <x:c r="G131" s="95" t="str">
        <x:v>return</x:v>
      </x:c>
      <x:c r="H131" s="98" t="n">
        <x:v>46029.38989583333</x:v>
      </x:c>
      <x:c r="I131" s="98" t="n">
        <x:v>46029.390127314815</x:v>
      </x:c>
      <x:c r="J131" s="95" t="str">
        <x:v>Wed</x:v>
      </x:c>
      <x:c r="K131" s="95" t="n">
        <x:v>1</x:v>
      </x:c>
      <x:c r="L131" s="95" t="str">
        <x:v>Completed</x:v>
      </x:c>
      <x:c r="M131" s="95" t="str">
        <x:v>Goods Cage</x:v>
      </x:c>
      <x:c r="N131" s="95" t="str">
        <x:v>D3-DROP-ZONE</x:v>
      </x:c>
      <x:c r="O131" s="95" t="str">
        <x:v>D49-STORES</x:v>
      </x:c>
      <x:c r="P131" s="95" t="str">
        <x:v>D49-STORES</x:v>
      </x:c>
      <x:c r="Q131" s="95" t="str">
        <x:v>AMR pickup completed</x:v>
      </x:c>
      <x:c r="R131" s="98" t="n">
        <x:v>46029.390127314815</x:v>
      </x:c>
      <x:c r="S131" s="95" t="str">
        <x:v>Generated delayed return for GEN_STORES_D12_01795</x:v>
      </x:c>
    </x:row>
    <x:row r="132" ht="42" customHeight="1">
      <x:c r="A132" s="95" t="str">
        <x:v>RETURN-GEN_STORES_D13_01311-1402</x:v>
      </x:c>
      <x:c r="B132" s="95" t="str">
        <x:v>GEN_STORES_D13_01311</x:v>
      </x:c>
      <x:c r="C132" s="95" t="str">
        <x:v>D13</x:v>
      </x:c>
      <x:c r="D132" s="95" t="str">
        <x:v>ED-Paediatrics</x:v>
      </x:c>
      <x:c r="E132" s="95" t="str">
        <x:v>L00</x:v>
      </x:c>
      <x:c r="F132" s="95" t="str">
        <x:v>Collection</x:v>
      </x:c>
      <x:c r="G132" s="95" t="str">
        <x:v>return</x:v>
      </x:c>
      <x:c r="H132" s="98" t="n">
        <x:v>46028.30535879629</x:v>
      </x:c>
      <x:c r="I132" s="98" t="n">
        <x:v>46028.30559027778</x:v>
      </x:c>
      <x:c r="J132" s="95" t="str">
        <x:v>Tue</x:v>
      </x:c>
      <x:c r="K132" s="95" t="n">
        <x:v>1</x:v>
      </x:c>
      <x:c r="L132" s="95" t="str">
        <x:v>Completed</x:v>
      </x:c>
      <x:c r="M132" s="95" t="str">
        <x:v>Goods Cage</x:v>
      </x:c>
      <x:c r="N132" s="95" t="str">
        <x:v>D3-DROP-ZONE</x:v>
      </x:c>
      <x:c r="O132" s="95" t="str">
        <x:v>D49-STORES</x:v>
      </x:c>
      <x:c r="P132" s="95" t="str">
        <x:v>D49-STORES</x:v>
      </x:c>
      <x:c r="Q132" s="95" t="str">
        <x:v>AMR pickup completed</x:v>
      </x:c>
      <x:c r="R132" s="98" t="n">
        <x:v>46028.30559027778</x:v>
      </x:c>
      <x:c r="S132" s="95" t="str">
        <x:v>Generated delayed return for GEN_STORES_D13_01311</x:v>
      </x:c>
    </x:row>
    <x:row r="133" ht="42" customHeight="1">
      <x:c r="A133" s="95" t="str">
        <x:v>RETURN-GEN_STORES_D13_01319-1403</x:v>
      </x:c>
      <x:c r="B133" s="95" t="str">
        <x:v>GEN_STORES_D13_01319</x:v>
      </x:c>
      <x:c r="C133" s="95" t="str">
        <x:v>D13</x:v>
      </x:c>
      <x:c r="D133" s="95" t="str">
        <x:v>ED-Paediatrics</x:v>
      </x:c>
      <x:c r="E133" s="95" t="str">
        <x:v>L00</x:v>
      </x:c>
      <x:c r="F133" s="95" t="str">
        <x:v>Collection</x:v>
      </x:c>
      <x:c r="G133" s="95" t="str">
        <x:v>return</x:v>
      </x:c>
      <x:c r="H133" s="98" t="n">
        <x:v>46028.32619212963</x:v>
      </x:c>
      <x:c r="I133" s="98" t="n">
        <x:v>46028.32642361111</x:v>
      </x:c>
      <x:c r="J133" s="95" t="str">
        <x:v>Tue</x:v>
      </x:c>
      <x:c r="K133" s="95" t="n">
        <x:v>1</x:v>
      </x:c>
      <x:c r="L133" s="95" t="str">
        <x:v>Completed</x:v>
      </x:c>
      <x:c r="M133" s="95" t="str">
        <x:v>Goods Cage</x:v>
      </x:c>
      <x:c r="N133" s="95" t="str">
        <x:v>D3-DROP-ZONE</x:v>
      </x:c>
      <x:c r="O133" s="95" t="str">
        <x:v>D49-STORES</x:v>
      </x:c>
      <x:c r="P133" s="95" t="str">
        <x:v>D49-STORES</x:v>
      </x:c>
      <x:c r="Q133" s="95" t="str">
        <x:v>AMR pickup completed</x:v>
      </x:c>
      <x:c r="R133" s="98" t="n">
        <x:v>46028.32642361111</x:v>
      </x:c>
      <x:c r="S133" s="95" t="str">
        <x:v>Generated delayed return for GEN_STORES_D13_01319</x:v>
      </x:c>
    </x:row>
    <x:row r="134" ht="42" customHeight="1">
      <x:c r="A134" s="95" t="str">
        <x:v>RETURN-GEN_STORES_D13_01321-1411</x:v>
      </x:c>
      <x:c r="B134" s="95" t="str">
        <x:v>GEN_STORES_D13_01321</x:v>
      </x:c>
      <x:c r="C134" s="95" t="str">
        <x:v>D13</x:v>
      </x:c>
      <x:c r="D134" s="95" t="str">
        <x:v>ED-Paediatrics</x:v>
      </x:c>
      <x:c r="E134" s="95" t="str">
        <x:v>L00</x:v>
      </x:c>
      <x:c r="F134" s="95" t="str">
        <x:v>Collection</x:v>
      </x:c>
      <x:c r="G134" s="95" t="str">
        <x:v>return</x:v>
      </x:c>
      <x:c r="H134" s="98" t="n">
        <x:v>46028.33662037037</x:v>
      </x:c>
      <x:c r="I134" s="98" t="n">
        <x:v>46028.336851851855</x:v>
      </x:c>
      <x:c r="J134" s="95" t="str">
        <x:v>Tue</x:v>
      </x:c>
      <x:c r="K134" s="95" t="n">
        <x:v>1</x:v>
      </x:c>
      <x:c r="L134" s="95" t="str">
        <x:v>Completed</x:v>
      </x:c>
      <x:c r="M134" s="95" t="str">
        <x:v>Goods Cage</x:v>
      </x:c>
      <x:c r="N134" s="95" t="str">
        <x:v>D3-DROP-ZONE</x:v>
      </x:c>
      <x:c r="O134" s="95" t="str">
        <x:v>D49-STORES</x:v>
      </x:c>
      <x:c r="P134" s="95" t="str">
        <x:v>D49-STORES</x:v>
      </x:c>
      <x:c r="Q134" s="95" t="str">
        <x:v>AMR pickup completed</x:v>
      </x:c>
      <x:c r="R134" s="98" t="n">
        <x:v>46028.336851851855</x:v>
      </x:c>
      <x:c r="S134" s="95" t="str">
        <x:v>Generated delayed return for GEN_STORES_D13_01321</x:v>
      </x:c>
    </x:row>
    <x:row r="135" ht="42" customHeight="1">
      <x:c r="A135" s="95" t="str">
        <x:v>RETURN-GEN_STORES_D14_00974-1149</x:v>
      </x:c>
      <x:c r="B135" s="95" t="str">
        <x:v>GEN_STORES_D14_00974</x:v>
      </x:c>
      <x:c r="C135" s="95" t="str">
        <x:v>D14</x:v>
      </x:c>
      <x:c r="D135" s="95" t="str">
        <x:v>ED-Imaging</x:v>
      </x:c>
      <x:c r="E135" s="95" t="str">
        <x:v>L00</x:v>
      </x:c>
      <x:c r="F135" s="95" t="str">
        <x:v>Collection</x:v>
      </x:c>
      <x:c r="G135" s="95" t="str">
        <x:v>return</x:v>
      </x:c>
      <x:c r="H135" s="98" t="n">
        <x:v>46027.29517361111</x:v>
      </x:c>
      <x:c r="I135" s="98" t="n">
        <x:v>46027.29715277778</x:v>
      </x:c>
      <x:c r="J135" s="95" t="str">
        <x:v>Mon</x:v>
      </x:c>
      <x:c r="K135" s="95" t="n">
        <x:v>1</x:v>
      </x:c>
      <x:c r="L135" s="95" t="str">
        <x:v>Completed</x:v>
      </x:c>
      <x:c r="M135" s="95" t="str">
        <x:v>Goods Cage</x:v>
      </x:c>
      <x:c r="N135" s="95" t="str">
        <x:v>D3-DROP-ZONE</x:v>
      </x:c>
      <x:c r="O135" s="95" t="str">
        <x:v>D49-STORES</x:v>
      </x:c>
      <x:c r="P135" s="95" t="str">
        <x:v>D49-STORES</x:v>
      </x:c>
      <x:c r="Q135" s="95" t="str">
        <x:v>AMR pickup completed</x:v>
      </x:c>
      <x:c r="R135" s="98" t="n">
        <x:v>46027.29715277778</x:v>
      </x:c>
      <x:c r="S135" s="95" t="str">
        <x:v>Generated delayed return for GEN_STORES_D14_00974</x:v>
      </x:c>
    </x:row>
    <x:row r="136" ht="42" customHeight="1">
      <x:c r="A136" s="95" t="str">
        <x:v>RETURN-GEN_STORES_D14_00975-1155</x:v>
      </x:c>
      <x:c r="B136" s="95" t="str">
        <x:v>GEN_STORES_D14_00975</x:v>
      </x:c>
      <x:c r="C136" s="95" t="str">
        <x:v>D14</x:v>
      </x:c>
      <x:c r="D136" s="95" t="str">
        <x:v>ED-Imaging</x:v>
      </x:c>
      <x:c r="E136" s="95" t="str">
        <x:v>L00</x:v>
      </x:c>
      <x:c r="F136" s="95" t="str">
        <x:v>Collection</x:v>
      </x:c>
      <x:c r="G136" s="95" t="str">
        <x:v>return</x:v>
      </x:c>
      <x:c r="H136" s="98" t="n">
        <x:v>46027.31600694444</x:v>
      </x:c>
      <x:c r="I136" s="98" t="n">
        <x:v>46027.31623842593</x:v>
      </x:c>
      <x:c r="J136" s="95" t="str">
        <x:v>Mon</x:v>
      </x:c>
      <x:c r="K136" s="95" t="n">
        <x:v>1</x:v>
      </x:c>
      <x:c r="L136" s="95" t="str">
        <x:v>Completed</x:v>
      </x:c>
      <x:c r="M136" s="95" t="str">
        <x:v>Goods Cage</x:v>
      </x:c>
      <x:c r="N136" s="95" t="str">
        <x:v>D3-DROP-ZONE</x:v>
      </x:c>
      <x:c r="O136" s="95" t="str">
        <x:v>D49-STORES</x:v>
      </x:c>
      <x:c r="P136" s="95" t="str">
        <x:v>D49-STORES</x:v>
      </x:c>
      <x:c r="Q136" s="95" t="str">
        <x:v>AMR pickup completed</x:v>
      </x:c>
      <x:c r="R136" s="98" t="n">
        <x:v>46027.31623842593</x:v>
      </x:c>
      <x:c r="S136" s="95" t="str">
        <x:v>Generated delayed return for GEN_STORES_D14_00975</x:v>
      </x:c>
    </x:row>
    <x:row r="137" ht="42" customHeight="1">
      <x:c r="A137" s="95" t="str">
        <x:v>RETURN-GEN_STORES_D14_00976-1158</x:v>
      </x:c>
      <x:c r="B137" s="95" t="str">
        <x:v>GEN_STORES_D14_00976</x:v>
      </x:c>
      <x:c r="C137" s="95" t="str">
        <x:v>D14</x:v>
      </x:c>
      <x:c r="D137" s="95" t="str">
        <x:v>ED-Imaging</x:v>
      </x:c>
      <x:c r="E137" s="95" t="str">
        <x:v>L00</x:v>
      </x:c>
      <x:c r="F137" s="95" t="str">
        <x:v>Collection</x:v>
      </x:c>
      <x:c r="G137" s="95" t="str">
        <x:v>return</x:v>
      </x:c>
      <x:c r="H137" s="98" t="n">
        <x:v>46027.326516203706</x:v>
      </x:c>
      <x:c r="I137" s="98" t="n">
        <x:v>46027.32674768518</x:v>
      </x:c>
      <x:c r="J137" s="95" t="str">
        <x:v>Mon</x:v>
      </x:c>
      <x:c r="K137" s="95" t="n">
        <x:v>1</x:v>
      </x:c>
      <x:c r="L137" s="95" t="str">
        <x:v>Completed</x:v>
      </x:c>
      <x:c r="M137" s="95" t="str">
        <x:v>Goods Cage</x:v>
      </x:c>
      <x:c r="N137" s="95" t="str">
        <x:v>D3-DROP-ZONE</x:v>
      </x:c>
      <x:c r="O137" s="95" t="str">
        <x:v>D49-STORES</x:v>
      </x:c>
      <x:c r="P137" s="95" t="str">
        <x:v>D49-STORES</x:v>
      </x:c>
      <x:c r="Q137" s="95" t="str">
        <x:v>AMR pickup completed</x:v>
      </x:c>
      <x:c r="R137" s="98" t="n">
        <x:v>46027.32674768518</x:v>
      </x:c>
      <x:c r="S137" s="95" t="str">
        <x:v>Generated delayed return for GEN_STORES_D14_00976</x:v>
      </x:c>
    </x:row>
    <x:row r="138" ht="42" customHeight="1">
      <x:c r="A138" s="95" t="str">
        <x:v>RETURN-GEN_STORES_D16_01000-1164</x:v>
      </x:c>
      <x:c r="B138" s="95" t="str">
        <x:v>GEN_STORES_D16_01000</x:v>
      </x:c>
      <x:c r="C138" s="95" t="str">
        <x:v>D16</x:v>
      </x:c>
      <x:c r="D138" s="95" t="str">
        <x:v>Ante-natal</x:v>
      </x:c>
      <x:c r="E138" s="95" t="str">
        <x:v>L01</x:v>
      </x:c>
      <x:c r="F138" s="95" t="str">
        <x:v>Collection</x:v>
      </x:c>
      <x:c r="G138" s="95" t="str">
        <x:v>return</x:v>
      </x:c>
      <x:c r="H138" s="98" t="n">
        <x:v>46027.34642361111</x:v>
      </x:c>
      <x:c r="I138" s="98" t="n">
        <x:v>46027.346655092595</x:v>
      </x:c>
      <x:c r="J138" s="95" t="str">
        <x:v>Mon</x:v>
      </x:c>
      <x:c r="K138" s="95" t="n">
        <x:v>1</x:v>
      </x:c>
      <x:c r="L138" s="95" t="str">
        <x:v>Completed</x:v>
      </x:c>
      <x:c r="M138" s="95" t="str">
        <x:v>Goods Cage</x:v>
      </x:c>
      <x:c r="N138" s="95" t="str">
        <x:v>D19-STORES</x:v>
      </x:c>
      <x:c r="O138" s="95" t="str">
        <x:v>D49-STORES</x:v>
      </x:c>
      <x:c r="P138" s="95" t="str">
        <x:v>D49-STORES</x:v>
      </x:c>
      <x:c r="Q138" s="95" t="str">
        <x:v>AMR pickup completed</x:v>
      </x:c>
      <x:c r="R138" s="98" t="n">
        <x:v>46027.346655092595</x:v>
      </x:c>
      <x:c r="S138" s="95" t="str">
        <x:v>Generated delayed return for GEN_STORES_D16_01000</x:v>
      </x:c>
    </x:row>
    <x:row r="139" ht="42" customHeight="1">
      <x:c r="A139" s="95" t="str">
        <x:v>RETURN-GEN_STORES_D16_01003-1184</x:v>
      </x:c>
      <x:c r="B139" s="95" t="str">
        <x:v>GEN_STORES_D16_01003</x:v>
      </x:c>
      <x:c r="C139" s="95" t="str">
        <x:v>D16</x:v>
      </x:c>
      <x:c r="D139" s="95" t="str">
        <x:v>Ante-natal</x:v>
      </x:c>
      <x:c r="E139" s="95" t="str">
        <x:v>L01</x:v>
      </x:c>
      <x:c r="F139" s="95" t="str">
        <x:v>Collection</x:v>
      </x:c>
      <x:c r="G139" s="95" t="str">
        <x:v>return</x:v>
      </x:c>
      <x:c r="H139" s="98" t="n">
        <x:v>46027.35685185185</x:v>
      </x:c>
      <x:c r="I139" s="98" t="n">
        <x:v>46027.357083333336</x:v>
      </x:c>
      <x:c r="J139" s="95" t="str">
        <x:v>Mon</x:v>
      </x:c>
      <x:c r="K139" s="95" t="n">
        <x:v>1</x:v>
      </x:c>
      <x:c r="L139" s="95" t="str">
        <x:v>Completed</x:v>
      </x:c>
      <x:c r="M139" s="95" t="str">
        <x:v>Goods Cage</x:v>
      </x:c>
      <x:c r="N139" s="95" t="str">
        <x:v>D19-STORES</x:v>
      </x:c>
      <x:c r="O139" s="95" t="str">
        <x:v>D49-STORES</x:v>
      </x:c>
      <x:c r="P139" s="95" t="str">
        <x:v>D49-STORES</x:v>
      </x:c>
      <x:c r="Q139" s="95" t="str">
        <x:v>AMR pickup completed</x:v>
      </x:c>
      <x:c r="R139" s="98" t="n">
        <x:v>46027.357083333336</x:v>
      </x:c>
      <x:c r="S139" s="95" t="str">
        <x:v>Generated delayed return for GEN_STORES_D16_01003</x:v>
      </x:c>
    </x:row>
    <x:row r="140" ht="42" customHeight="1">
      <x:c r="A140" s="95" t="str">
        <x:v>RETURN-GEN_STORES_D16_01004-1186</x:v>
      </x:c>
      <x:c r="B140" s="95" t="str">
        <x:v>GEN_STORES_D16_01004</x:v>
      </x:c>
      <x:c r="C140" s="95" t="str">
        <x:v>D16</x:v>
      </x:c>
      <x:c r="D140" s="95" t="str">
        <x:v>Ante-natal</x:v>
      </x:c>
      <x:c r="E140" s="95" t="str">
        <x:v>L01</x:v>
      </x:c>
      <x:c r="F140" s="95" t="str">
        <x:v>Collection</x:v>
      </x:c>
      <x:c r="G140" s="95" t="str">
        <x:v>return</x:v>
      </x:c>
      <x:c r="H140" s="98" t="n">
        <x:v>46027.367256944446</x:v>
      </x:c>
      <x:c r="I140" s="98" t="n">
        <x:v>46027.36748842592</x:v>
      </x:c>
      <x:c r="J140" s="95" t="str">
        <x:v>Mon</x:v>
      </x:c>
      <x:c r="K140" s="95" t="n">
        <x:v>1</x:v>
      </x:c>
      <x:c r="L140" s="95" t="str">
        <x:v>Completed</x:v>
      </x:c>
      <x:c r="M140" s="95" t="str">
        <x:v>Goods Cage</x:v>
      </x:c>
      <x:c r="N140" s="95" t="str">
        <x:v>D19-STORES</x:v>
      </x:c>
      <x:c r="O140" s="95" t="str">
        <x:v>D49-STORES</x:v>
      </x:c>
      <x:c r="P140" s="95" t="str">
        <x:v>D49-STORES</x:v>
      </x:c>
      <x:c r="Q140" s="95" t="str">
        <x:v>AMR pickup completed</x:v>
      </x:c>
      <x:c r="R140" s="98" t="n">
        <x:v>46027.36748842592</x:v>
      </x:c>
      <x:c r="S140" s="95" t="str">
        <x:v>Generated delayed return for GEN_STORES_D16_01004</x:v>
      </x:c>
    </x:row>
    <x:row r="141" ht="42" customHeight="1">
      <x:c r="A141" s="95" t="str">
        <x:v>RETURN-GEN_STORES_D17_01444-1437</x:v>
      </x:c>
      <x:c r="B141" s="95" t="str">
        <x:v>GEN_STORES_D17_01444</x:v>
      </x:c>
      <x:c r="C141" s="95" t="str">
        <x:v>D17</x:v>
      </x:c>
      <x:c r="D141" s="95" t="str">
        <x:v>Ambulatory Care</x:v>
      </x:c>
      <x:c r="E141" s="95" t="str">
        <x:v>L01</x:v>
      </x:c>
      <x:c r="F141" s="95" t="str">
        <x:v>Collection</x:v>
      </x:c>
      <x:c r="G141" s="95" t="str">
        <x:v>return</x:v>
      </x:c>
      <x:c r="H141" s="98" t="n">
        <x:v>46028.41960648148</x:v>
      </x:c>
      <x:c r="I141" s="98" t="n">
        <x:v>46028.41983796296</x:v>
      </x:c>
      <x:c r="J141" s="95" t="str">
        <x:v>Tue</x:v>
      </x:c>
      <x:c r="K141" s="95" t="n">
        <x:v>1</x:v>
      </x:c>
      <x:c r="L141" s="95" t="str">
        <x:v>Completed</x:v>
      </x:c>
      <x:c r="M141" s="95" t="str">
        <x:v>Goods Cage</x:v>
      </x:c>
      <x:c r="N141" s="95" t="str">
        <x:v>D19-STORES</x:v>
      </x:c>
      <x:c r="O141" s="95" t="str">
        <x:v>D49-STORES</x:v>
      </x:c>
      <x:c r="P141" s="95" t="str">
        <x:v>D49-STORES</x:v>
      </x:c>
      <x:c r="Q141" s="95" t="str">
        <x:v>AMR pickup completed</x:v>
      </x:c>
      <x:c r="R141" s="98" t="n">
        <x:v>46028.41983796296</x:v>
      </x:c>
      <x:c r="S141" s="95" t="str">
        <x:v>Generated delayed return for GEN_STORES_D17_01444</x:v>
      </x:c>
    </x:row>
    <x:row r="142" ht="42" customHeight="1">
      <x:c r="A142" s="95" t="str">
        <x:v>RETURN-GEN_STORES_D17_01446-1438</x:v>
      </x:c>
      <x:c r="B142" s="95" t="str">
        <x:v>GEN_STORES_D17_01446</x:v>
      </x:c>
      <x:c r="C142" s="95" t="str">
        <x:v>D17</x:v>
      </x:c>
      <x:c r="D142" s="95" t="str">
        <x:v>Ambulatory Care</x:v>
      </x:c>
      <x:c r="E142" s="95" t="str">
        <x:v>L01</x:v>
      </x:c>
      <x:c r="F142" s="95" t="str">
        <x:v>Collection</x:v>
      </x:c>
      <x:c r="G142" s="95" t="str">
        <x:v>return</x:v>
      </x:c>
      <x:c r="H142" s="98" t="n">
        <x:v>46028.43001157408</x:v>
      </x:c>
      <x:c r="I142" s="98" t="n">
        <x:v>46028.433483796296</x:v>
      </x:c>
      <x:c r="J142" s="95" t="str">
        <x:v>Tue</x:v>
      </x:c>
      <x:c r="K142" s="95" t="n">
        <x:v>1</x:v>
      </x:c>
      <x:c r="L142" s="95" t="str">
        <x:v>Completed</x:v>
      </x:c>
      <x:c r="M142" s="95" t="str">
        <x:v>Goods Cage</x:v>
      </x:c>
      <x:c r="N142" s="95" t="str">
        <x:v>D19-STORES</x:v>
      </x:c>
      <x:c r="O142" s="95" t="str">
        <x:v>D49-STORES</x:v>
      </x:c>
      <x:c r="P142" s="95" t="str">
        <x:v>D49-STORES</x:v>
      </x:c>
      <x:c r="Q142" s="95" t="str">
        <x:v>AMR pickup completed</x:v>
      </x:c>
      <x:c r="R142" s="98" t="n">
        <x:v>46028.433483796296</x:v>
      </x:c>
      <x:c r="S142" s="95" t="str">
        <x:v>Generated delayed return for GEN_STORES_D17_01446</x:v>
      </x:c>
    </x:row>
    <x:row r="143" ht="42" customHeight="1">
      <x:c r="A143" s="95" t="str">
        <x:v>RETURN-GEN_STORES_D17_01447-1441</x:v>
      </x:c>
      <x:c r="B143" s="95" t="str">
        <x:v>GEN_STORES_D17_01447</x:v>
      </x:c>
      <x:c r="C143" s="95" t="str">
        <x:v>D17</x:v>
      </x:c>
      <x:c r="D143" s="95" t="str">
        <x:v>Ambulatory Care</x:v>
      </x:c>
      <x:c r="E143" s="95" t="str">
        <x:v>L01</x:v>
      </x:c>
      <x:c r="F143" s="95" t="str">
        <x:v>Collection</x:v>
      </x:c>
      <x:c r="G143" s="95" t="str">
        <x:v>return</x:v>
      </x:c>
      <x:c r="H143" s="98" t="n">
        <x:v>46028.44216435185</x:v>
      </x:c>
      <x:c r="I143" s="98" t="n">
        <x:v>46028.44336805555</x:v>
      </x:c>
      <x:c r="J143" s="95" t="str">
        <x:v>Tue</x:v>
      </x:c>
      <x:c r="K143" s="95" t="n">
        <x:v>1</x:v>
      </x:c>
      <x:c r="L143" s="95" t="str">
        <x:v>Completed</x:v>
      </x:c>
      <x:c r="M143" s="95" t="str">
        <x:v>Goods Cage</x:v>
      </x:c>
      <x:c r="N143" s="95" t="str">
        <x:v>D19-STORES</x:v>
      </x:c>
      <x:c r="O143" s="95" t="str">
        <x:v>D49-STORES</x:v>
      </x:c>
      <x:c r="P143" s="95" t="str">
        <x:v>D49-STORES</x:v>
      </x:c>
      <x:c r="Q143" s="95" t="str">
        <x:v>AMR pickup completed</x:v>
      </x:c>
      <x:c r="R143" s="98" t="n">
        <x:v>46028.44336805555</x:v>
      </x:c>
      <x:c r="S143" s="95" t="str">
        <x:v>Generated delayed return for GEN_STORES_D17_01447</x:v>
      </x:c>
    </x:row>
    <x:row r="144" ht="42" customHeight="1">
      <x:c r="A144" s="95" t="str">
        <x:v>RETURN-GEN_STORES_D18_00001-1</x:v>
      </x:c>
      <x:c r="B144" s="95" t="str">
        <x:v>GEN_STORES_D18_00001</x:v>
      </x:c>
      <x:c r="C144" s="95" t="str">
        <x:v>D18</x:v>
      </x:c>
      <x:c r="D144" s="95" t="str">
        <x:v>Neonatal</x:v>
      </x:c>
      <x:c r="E144" s="95" t="str">
        <x:v>L01</x:v>
      </x:c>
      <x:c r="F144" s="95" t="str">
        <x:v>Collection</x:v>
      </x:c>
      <x:c r="G144" s="95" t="str">
        <x:v>return</x:v>
      </x:c>
      <x:c r="H144" s="98" t="n">
        <x:v>46023.29462962963</x:v>
      </x:c>
      <x:c r="I144" s="98" t="n">
        <x:v>46023.29951388889</x:v>
      </x:c>
      <x:c r="J144" s="95" t="str">
        <x:v>Thu</x:v>
      </x:c>
      <x:c r="K144" s="95" t="n">
        <x:v>1</x:v>
      </x:c>
      <x:c r="L144" s="95" t="str">
        <x:v>Completed</x:v>
      </x:c>
      <x:c r="M144" s="95" t="str">
        <x:v>Goods Cage</x:v>
      </x:c>
      <x:c r="N144" s="95" t="str">
        <x:v>D19-STORES</x:v>
      </x:c>
      <x:c r="O144" s="95" t="str">
        <x:v>D49-STORES</x:v>
      </x:c>
      <x:c r="P144" s="95" t="str">
        <x:v>D49-STORES</x:v>
      </x:c>
      <x:c r="Q144" s="95" t="str">
        <x:v>AMR pickup completed</x:v>
      </x:c>
      <x:c r="R144" s="98" t="n">
        <x:v>46023.29951388889</x:v>
      </x:c>
      <x:c r="S144" s="95" t="str">
        <x:v>Generated delayed return for GEN_STORES_D18_00001</x:v>
      </x:c>
    </x:row>
    <x:row r="145" ht="42" customHeight="1">
      <x:c r="A145" s="95" t="str">
        <x:v>RETURN-GEN_STORES_D18_00002-3</x:v>
      </x:c>
      <x:c r="B145" s="95" t="str">
        <x:v>GEN_STORES_D18_00002</x:v>
      </x:c>
      <x:c r="C145" s="95" t="str">
        <x:v>D18</x:v>
      </x:c>
      <x:c r="D145" s="95" t="str">
        <x:v>Neonatal</x:v>
      </x:c>
      <x:c r="E145" s="95" t="str">
        <x:v>L01</x:v>
      </x:c>
      <x:c r="F145" s="95" t="str">
        <x:v>Collection</x:v>
      </x:c>
      <x:c r="G145" s="95" t="str">
        <x:v>return</x:v>
      </x:c>
      <x:c r="H145" s="98" t="n">
        <x:v>46023.33614583333</x:v>
      </x:c>
      <x:c r="I145" s="98" t="n">
        <x:v>46023.33997685185</x:v>
      </x:c>
      <x:c r="J145" s="95" t="str">
        <x:v>Thu</x:v>
      </x:c>
      <x:c r="K145" s="95" t="n">
        <x:v>1</x:v>
      </x:c>
      <x:c r="L145" s="95" t="str">
        <x:v>Completed</x:v>
      </x:c>
      <x:c r="M145" s="95" t="str">
        <x:v>Goods Cage</x:v>
      </x:c>
      <x:c r="N145" s="95" t="str">
        <x:v>D19-STORES</x:v>
      </x:c>
      <x:c r="O145" s="95" t="str">
        <x:v>D49-STORES</x:v>
      </x:c>
      <x:c r="P145" s="95" t="str">
        <x:v>D49-STORES</x:v>
      </x:c>
      <x:c r="Q145" s="95" t="str">
        <x:v>AMR pickup completed</x:v>
      </x:c>
      <x:c r="R145" s="98" t="n">
        <x:v>46023.33997685185</x:v>
      </x:c>
      <x:c r="S145" s="95" t="str">
        <x:v>Generated delayed return for GEN_STORES_D18_00002</x:v>
      </x:c>
    </x:row>
    <x:row r="146" ht="42" customHeight="1">
      <x:c r="A146" s="95" t="str">
        <x:v>RETURN-GEN_STORES_D18_00003-6</x:v>
      </x:c>
      <x:c r="B146" s="95" t="str">
        <x:v>GEN_STORES_D18_00003</x:v>
      </x:c>
      <x:c r="C146" s="95" t="str">
        <x:v>D18</x:v>
      </x:c>
      <x:c r="D146" s="95" t="str">
        <x:v>Neonatal</x:v>
      </x:c>
      <x:c r="E146" s="95" t="str">
        <x:v>L01</x:v>
      </x:c>
      <x:c r="F146" s="95" t="str">
        <x:v>Collection</x:v>
      </x:c>
      <x:c r="G146" s="95" t="str">
        <x:v>return</x:v>
      </x:c>
      <x:c r="H146" s="98" t="n">
        <x:v>46023.367430555554</x:v>
      </x:c>
      <x:c r="I146" s="98" t="n">
        <x:v>46023.36988425926</x:v>
      </x:c>
      <x:c r="J146" s="95" t="str">
        <x:v>Thu</x:v>
      </x:c>
      <x:c r="K146" s="95" t="n">
        <x:v>1</x:v>
      </x:c>
      <x:c r="L146" s="95" t="str">
        <x:v>Completed</x:v>
      </x:c>
      <x:c r="M146" s="95" t="str">
        <x:v>Goods Cage</x:v>
      </x:c>
      <x:c r="N146" s="95" t="str">
        <x:v>D19-STORES</x:v>
      </x:c>
      <x:c r="O146" s="95" t="str">
        <x:v>D49-STORES</x:v>
      </x:c>
      <x:c r="P146" s="95" t="str">
        <x:v>D49-STORES</x:v>
      </x:c>
      <x:c r="Q146" s="95" t="str">
        <x:v>AMR pickup completed</x:v>
      </x:c>
      <x:c r="R146" s="98" t="n">
        <x:v>46023.36988425926</x:v>
      </x:c>
      <x:c r="S146" s="95" t="str">
        <x:v>Generated delayed return for GEN_STORES_D18_00003</x:v>
      </x:c>
    </x:row>
    <x:row r="147" ht="42" customHeight="1">
      <x:c r="A147" s="95" t="str">
        <x:v>RETURN-GEN_STORES_D19_01796-1694</x:v>
      </x:c>
      <x:c r="B147" s="95" t="str">
        <x:v>GEN_STORES_D19_01796</x:v>
      </x:c>
      <x:c r="C147" s="95" t="str">
        <x:v>D19</x:v>
      </x:c>
      <x:c r="D147" s="95" t="str">
        <x:v>Birthing Suite</x:v>
      </x:c>
      <x:c r="E147" s="95" t="str">
        <x:v>L01</x:v>
      </x:c>
      <x:c r="F147" s="95" t="str">
        <x:v>Collection</x:v>
      </x:c>
      <x:c r="G147" s="95" t="str">
        <x:v>return</x:v>
      </x:c>
      <x:c r="H147" s="98" t="n">
        <x:v>46029.44017361111</x:v>
      </x:c>
      <x:c r="I147" s="98" t="n">
        <x:v>46029.44116898148</x:v>
      </x:c>
      <x:c r="J147" s="95" t="str">
        <x:v>Wed</x:v>
      </x:c>
      <x:c r="K147" s="95" t="n">
        <x:v>1</x:v>
      </x:c>
      <x:c r="L147" s="95" t="str">
        <x:v>Completed</x:v>
      </x:c>
      <x:c r="M147" s="95" t="str">
        <x:v>Goods Cage</x:v>
      </x:c>
      <x:c r="N147" s="95" t="str">
        <x:v>D19-STORES</x:v>
      </x:c>
      <x:c r="O147" s="95" t="str">
        <x:v>D49-STORES</x:v>
      </x:c>
      <x:c r="P147" s="95" t="str">
        <x:v>D49-STORES</x:v>
      </x:c>
      <x:c r="Q147" s="95" t="str">
        <x:v>AMR pickup completed</x:v>
      </x:c>
      <x:c r="R147" s="98" t="n">
        <x:v>46029.44116898148</x:v>
      </x:c>
      <x:c r="S147" s="95" t="str">
        <x:v>Generated delayed return for GEN_STORES_D19_01796</x:v>
      </x:c>
    </x:row>
    <x:row r="148" ht="42" customHeight="1">
      <x:c r="A148" s="95" t="str">
        <x:v>RETURN-GEN_STORES_D19_01827-1695</x:v>
      </x:c>
      <x:c r="B148" s="95" t="str">
        <x:v>GEN_STORES_D19_01827</x:v>
      </x:c>
      <x:c r="C148" s="95" t="str">
        <x:v>D19</x:v>
      </x:c>
      <x:c r="D148" s="95" t="str">
        <x:v>Birthing Suite</x:v>
      </x:c>
      <x:c r="E148" s="95" t="str">
        <x:v>L01</x:v>
      </x:c>
      <x:c r="F148" s="95" t="str">
        <x:v>Collection</x:v>
      </x:c>
      <x:c r="G148" s="95" t="str">
        <x:v>return</x:v>
      </x:c>
      <x:c r="H148" s="98" t="n">
        <x:v>46029.461226851854</x:v>
      </x:c>
      <x:c r="I148" s="98" t="n">
        <x:v>46029.46622685185</x:v>
      </x:c>
      <x:c r="J148" s="95" t="str">
        <x:v>Wed</x:v>
      </x:c>
      <x:c r="K148" s="95" t="n">
        <x:v>1</x:v>
      </x:c>
      <x:c r="L148" s="95" t="str">
        <x:v>Completed</x:v>
      </x:c>
      <x:c r="M148" s="95" t="str">
        <x:v>Goods Cage</x:v>
      </x:c>
      <x:c r="N148" s="95" t="str">
        <x:v>D19-STORES</x:v>
      </x:c>
      <x:c r="O148" s="95" t="str">
        <x:v>D49-STORES</x:v>
      </x:c>
      <x:c r="P148" s="95" t="str">
        <x:v>D49-STORES</x:v>
      </x:c>
      <x:c r="Q148" s="95" t="str">
        <x:v>AMR pickup completed</x:v>
      </x:c>
      <x:c r="R148" s="98" t="n">
        <x:v>46029.46622685185</x:v>
      </x:c>
      <x:c r="S148" s="95" t="str">
        <x:v>Generated delayed return for GEN_STORES_D19_01827</x:v>
      </x:c>
    </x:row>
    <x:row r="149" ht="42" customHeight="1">
      <x:c r="A149" s="95" t="str">
        <x:v>RETURN-GEN_STORES_D19_01828-1726</x:v>
      </x:c>
      <x:c r="B149" s="95" t="str">
        <x:v>GEN_STORES_D19_01828</x:v>
      </x:c>
      <x:c r="C149" s="95" t="str">
        <x:v>D19</x:v>
      </x:c>
      <x:c r="D149" s="95" t="str">
        <x:v>Birthing Suite</x:v>
      </x:c>
      <x:c r="E149" s="95" t="str">
        <x:v>L01</x:v>
      </x:c>
      <x:c r="F149" s="95" t="str">
        <x:v>Collection</x:v>
      </x:c>
      <x:c r="G149" s="95" t="str">
        <x:v>return</x:v>
      </x:c>
      <x:c r="H149" s="98" t="n">
        <x:v>46029.4831712963</x:v>
      </x:c>
      <x:c r="I149" s="98" t="n">
        <x:v>46029.48607638889</x:v>
      </x:c>
      <x:c r="J149" s="95" t="str">
        <x:v>Wed</x:v>
      </x:c>
      <x:c r="K149" s="95" t="n">
        <x:v>1</x:v>
      </x:c>
      <x:c r="L149" s="95" t="str">
        <x:v>Completed</x:v>
      </x:c>
      <x:c r="M149" s="95" t="str">
        <x:v>Goods Cage</x:v>
      </x:c>
      <x:c r="N149" s="95" t="str">
        <x:v>D19-STORES</x:v>
      </x:c>
      <x:c r="O149" s="95" t="str">
        <x:v>D49-STORES</x:v>
      </x:c>
      <x:c r="P149" s="95" t="str">
        <x:v>D49-STORES</x:v>
      </x:c>
      <x:c r="Q149" s="95" t="str">
        <x:v>AMR pickup completed</x:v>
      </x:c>
      <x:c r="R149" s="98" t="n">
        <x:v>46029.48607638889</x:v>
      </x:c>
      <x:c r="S149" s="95" t="str">
        <x:v>Generated delayed return for GEN_STORES_D19_01828</x:v>
      </x:c>
    </x:row>
    <x:row r="150" ht="42" customHeight="1">
      <x:c r="A150" s="95" t="str">
        <x:v>RETURN-GEN_STORES_D1_00276-406</x:v>
      </x:c>
      <x:c r="B150" s="95" t="str">
        <x:v>GEN_STORES_D1_00276</x:v>
      </x:c>
      <x:c r="C150" s="95" t="str">
        <x:v>D1</x:v>
      </x:c>
      <x:c r="D150" s="95" t="str">
        <x:v>Fraility</x:v>
      </x:c>
      <x:c r="E150" s="95" t="str">
        <x:v>L00</x:v>
      </x:c>
      <x:c r="F150" s="95" t="str">
        <x:v>Collection</x:v>
      </x:c>
      <x:c r="G150" s="95" t="str">
        <x:v>return</x:v>
      </x:c>
      <x:c r="H150" s="98" t="n">
        <x:v>46024.3581712963</x:v>
      </x:c>
      <x:c r="I150" s="98" t="n">
        <x:v>46024.36127314815</x:v>
      </x:c>
      <x:c r="J150" s="95" t="str">
        <x:v>Fri</x:v>
      </x:c>
      <x:c r="K150" s="95" t="n">
        <x:v>1</x:v>
      </x:c>
      <x:c r="L150" s="95" t="str">
        <x:v>Completed</x:v>
      </x:c>
      <x:c r="M150" s="95" t="str">
        <x:v>Goods Cage</x:v>
      </x:c>
      <x:c r="N150" s="95" t="str">
        <x:v>D3-DROP-ZONE</x:v>
      </x:c>
      <x:c r="O150" s="95" t="str">
        <x:v>D49-STORES</x:v>
      </x:c>
      <x:c r="P150" s="95" t="str">
        <x:v>D49-STORES</x:v>
      </x:c>
      <x:c r="Q150" s="95" t="str">
        <x:v>AMR pickup completed</x:v>
      </x:c>
      <x:c r="R150" s="98" t="n">
        <x:v>46024.36127314815</x:v>
      </x:c>
      <x:c r="S150" s="95" t="str">
        <x:v>Generated delayed return for GEN_STORES_D1_00276</x:v>
      </x:c>
    </x:row>
    <x:row r="151" ht="42" customHeight="1">
      <x:c r="A151" s="95" t="str">
        <x:v>RETURN-GEN_STORES_D1_00295-410</x:v>
      </x:c>
      <x:c r="B151" s="95" t="str">
        <x:v>GEN_STORES_D1_00295</x:v>
      </x:c>
      <x:c r="C151" s="95" t="str">
        <x:v>D1</x:v>
      </x:c>
      <x:c r="D151" s="95" t="str">
        <x:v>Fraility</x:v>
      </x:c>
      <x:c r="E151" s="95" t="str">
        <x:v>L00</x:v>
      </x:c>
      <x:c r="F151" s="95" t="str">
        <x:v>Collection</x:v>
      </x:c>
      <x:c r="G151" s="95" t="str">
        <x:v>return</x:v>
      </x:c>
      <x:c r="H151" s="98" t="n">
        <x:v>46024.379016203704</x:v>
      </x:c>
      <x:c r="I151" s="98" t="n">
        <x:v>46024.382789351854</x:v>
      </x:c>
      <x:c r="J151" s="95" t="str">
        <x:v>Fri</x:v>
      </x:c>
      <x:c r="K151" s="95" t="n">
        <x:v>1</x:v>
      </x:c>
      <x:c r="L151" s="95" t="str">
        <x:v>Completed</x:v>
      </x:c>
      <x:c r="M151" s="95" t="str">
        <x:v>Goods Cage</x:v>
      </x:c>
      <x:c r="N151" s="95" t="str">
        <x:v>D3-DROP-ZONE</x:v>
      </x:c>
      <x:c r="O151" s="95" t="str">
        <x:v>D49-STORES</x:v>
      </x:c>
      <x:c r="P151" s="95" t="str">
        <x:v>D49-STORES</x:v>
      </x:c>
      <x:c r="Q151" s="95" t="str">
        <x:v>AMR pickup completed</x:v>
      </x:c>
      <x:c r="R151" s="98" t="n">
        <x:v>46024.382789351854</x:v>
      </x:c>
      <x:c r="S151" s="95" t="str">
        <x:v>Generated delayed return for GEN_STORES_D1_00295</x:v>
      </x:c>
    </x:row>
    <x:row r="152" ht="42" customHeight="1">
      <x:c r="A152" s="95" t="str">
        <x:v>RETURN-GEN_STORES_D1_00299-446</x:v>
      </x:c>
      <x:c r="B152" s="95" t="str">
        <x:v>GEN_STORES_D1_00299</x:v>
      </x:c>
      <x:c r="C152" s="95" t="str">
        <x:v>D1</x:v>
      </x:c>
      <x:c r="D152" s="95" t="str">
        <x:v>Fraility</x:v>
      </x:c>
      <x:c r="E152" s="95" t="str">
        <x:v>L00</x:v>
      </x:c>
      <x:c r="F152" s="95" t="str">
        <x:v>Collection</x:v>
      </x:c>
      <x:c r="G152" s="95" t="str">
        <x:v>return</x:v>
      </x:c>
      <x:c r="H152" s="98" t="n">
        <x:v>46024.399872685186</x:v>
      </x:c>
      <x:c r="I152" s="98" t="n">
        <x:v>46024.407118055555</x:v>
      </x:c>
      <x:c r="J152" s="95" t="str">
        <x:v>Fri</x:v>
      </x:c>
      <x:c r="K152" s="95" t="n">
        <x:v>1</x:v>
      </x:c>
      <x:c r="L152" s="95" t="str">
        <x:v>Completed</x:v>
      </x:c>
      <x:c r="M152" s="95" t="str">
        <x:v>Goods Cage</x:v>
      </x:c>
      <x:c r="N152" s="95" t="str">
        <x:v>D3-DROP-ZONE</x:v>
      </x:c>
      <x:c r="O152" s="95" t="str">
        <x:v>D49-STORES</x:v>
      </x:c>
      <x:c r="P152" s="95" t="str">
        <x:v>D49-STORES</x:v>
      </x:c>
      <x:c r="Q152" s="95" t="str">
        <x:v>AMR pickup completed</x:v>
      </x:c>
      <x:c r="R152" s="98" t="n">
        <x:v>46024.407118055555</x:v>
      </x:c>
      <x:c r="S152" s="95" t="str">
        <x:v>Generated delayed return for GEN_STORES_D1_00299</x:v>
      </x:c>
    </x:row>
    <x:row r="153" ht="42" customHeight="1">
      <x:c r="A153" s="95" t="str">
        <x:v>RETURN-GEN_STORES_D20_00399-470</x:v>
      </x:c>
      <x:c r="B153" s="95" t="str">
        <x:v>GEN_STORES_D20_00399</x:v>
      </x:c>
      <x:c r="C153" s="95" t="str">
        <x:v>D20</x:v>
      </x:c>
      <x:c r="D153" s="95" t="str">
        <x:v>Theatres</x:v>
      </x:c>
      <x:c r="E153" s="95" t="str">
        <x:v>L01</x:v>
      </x:c>
      <x:c r="F153" s="95" t="str">
        <x:v>Collection</x:v>
      </x:c>
      <x:c r="G153" s="95" t="str">
        <x:v>return</x:v>
      </x:c>
      <x:c r="H153" s="98" t="n">
        <x:v>46024.41957175926</x:v>
      </x:c>
      <x:c r="I153" s="98" t="n">
        <x:v>46024.42480324074</x:v>
      </x:c>
      <x:c r="J153" s="95" t="str">
        <x:v>Fri</x:v>
      </x:c>
      <x:c r="K153" s="95" t="n">
        <x:v>1</x:v>
      </x:c>
      <x:c r="L153" s="95" t="str">
        <x:v>Completed</x:v>
      </x:c>
      <x:c r="M153" s="95" t="str">
        <x:v>Goods Cage</x:v>
      </x:c>
      <x:c r="N153" s="95" t="str">
        <x:v>D19-STORES</x:v>
      </x:c>
      <x:c r="O153" s="95" t="str">
        <x:v>D49-STORES</x:v>
      </x:c>
      <x:c r="P153" s="95" t="str">
        <x:v>D49-STORES</x:v>
      </x:c>
      <x:c r="Q153" s="95" t="str">
        <x:v>AMR pickup completed</x:v>
      </x:c>
      <x:c r="R153" s="98" t="n">
        <x:v>46024.42480324074</x:v>
      </x:c>
      <x:c r="S153" s="95" t="str">
        <x:v>Generated delayed return for GEN_STORES_D20_00399</x:v>
      </x:c>
    </x:row>
    <x:row r="154" ht="42" customHeight="1">
      <x:c r="A154" s="95" t="str">
        <x:v>RETURN-GEN_STORES_D20_00400-476</x:v>
      </x:c>
      <x:c r="B154" s="95" t="str">
        <x:v>GEN_STORES_D20_00400</x:v>
      </x:c>
      <x:c r="C154" s="95" t="str">
        <x:v>D20</x:v>
      </x:c>
      <x:c r="D154" s="95" t="str">
        <x:v>Theatres</x:v>
      </x:c>
      <x:c r="E154" s="95" t="str">
        <x:v>L01</x:v>
      </x:c>
      <x:c r="F154" s="95" t="str">
        <x:v>Collection</x:v>
      </x:c>
      <x:c r="G154" s="95" t="str">
        <x:v>return</x:v>
      </x:c>
      <x:c r="H154" s="98" t="n">
        <x:v>46024.44032407407</x:v>
      </x:c>
      <x:c r="I154" s="98" t="n">
        <x:v>46024.44283564815</x:v>
      </x:c>
      <x:c r="J154" s="95" t="str">
        <x:v>Fri</x:v>
      </x:c>
      <x:c r="K154" s="95" t="n">
        <x:v>1</x:v>
      </x:c>
      <x:c r="L154" s="95" t="str">
        <x:v>Completed</x:v>
      </x:c>
      <x:c r="M154" s="95" t="str">
        <x:v>Goods Cage</x:v>
      </x:c>
      <x:c r="N154" s="95" t="str">
        <x:v>D19-STORES</x:v>
      </x:c>
      <x:c r="O154" s="95" t="str">
        <x:v>D49-STORES</x:v>
      </x:c>
      <x:c r="P154" s="95" t="str">
        <x:v>D49-STORES</x:v>
      </x:c>
      <x:c r="Q154" s="95" t="str">
        <x:v>AMR pickup completed</x:v>
      </x:c>
      <x:c r="R154" s="98" t="n">
        <x:v>46024.44283564815</x:v>
      </x:c>
      <x:c r="S154" s="95" t="str">
        <x:v>Generated delayed return for GEN_STORES_D20_00400</x:v>
      </x:c>
    </x:row>
    <x:row r="155" ht="42" customHeight="1">
      <x:c r="A155" s="95" t="str">
        <x:v>RETURN-GEN_STORES_D20_00410-483</x:v>
      </x:c>
      <x:c r="B155" s="95" t="str">
        <x:v>GEN_STORES_D20_00410</x:v>
      </x:c>
      <x:c r="C155" s="95" t="str">
        <x:v>D20</x:v>
      </x:c>
      <x:c r="D155" s="95" t="str">
        <x:v>Theatres</x:v>
      </x:c>
      <x:c r="E155" s="95" t="str">
        <x:v>L01</x:v>
      </x:c>
      <x:c r="F155" s="95" t="str">
        <x:v>Collection</x:v>
      </x:c>
      <x:c r="G155" s="95" t="str">
        <x:v>return</x:v>
      </x:c>
      <x:c r="H155" s="98" t="n">
        <x:v>46024.46115740741</x:v>
      </x:c>
      <x:c r="I155" s="98" t="n">
        <x:v>46024.468148148146</x:v>
      </x:c>
      <x:c r="J155" s="95" t="str">
        <x:v>Fri</x:v>
      </x:c>
      <x:c r="K155" s="95" t="n">
        <x:v>1</x:v>
      </x:c>
      <x:c r="L155" s="95" t="str">
        <x:v>Completed</x:v>
      </x:c>
      <x:c r="M155" s="95" t="str">
        <x:v>Goods Cage</x:v>
      </x:c>
      <x:c r="N155" s="95" t="str">
        <x:v>D19-STORES</x:v>
      </x:c>
      <x:c r="O155" s="95" t="str">
        <x:v>D49-STORES</x:v>
      </x:c>
      <x:c r="P155" s="95" t="str">
        <x:v>D49-STORES</x:v>
      </x:c>
      <x:c r="Q155" s="95" t="str">
        <x:v>AMR pickup completed</x:v>
      </x:c>
      <x:c r="R155" s="98" t="n">
        <x:v>46024.468148148146</x:v>
      </x:c>
      <x:c r="S155" s="95" t="str">
        <x:v>Generated delayed return for GEN_STORES_D20_00410</x:v>
      </x:c>
    </x:row>
    <x:row r="156" ht="42" customHeight="1">
      <x:c r="A156" s="95" t="str">
        <x:v>RETURN-GEN_STORES_D21_01445-1439</x:v>
      </x:c>
      <x:c r="B156" s="95" t="str">
        <x:v>GEN_STORES_D21_01445</x:v>
      </x:c>
      <x:c r="C156" s="95" t="str">
        <x:v>D21</x:v>
      </x:c>
      <x:c r="D156" s="95" t="str">
        <x:v>Intensive Care</x:v>
      </x:c>
      <x:c r="E156" s="95" t="str">
        <x:v>L01</x:v>
      </x:c>
      <x:c r="F156" s="95" t="str">
        <x:v>Collection</x:v>
      </x:c>
      <x:c r="G156" s="95" t="str">
        <x:v>return</x:v>
      </x:c>
      <x:c r="H156" s="98" t="n">
        <x:v>46028.43054398148</x:v>
      </x:c>
      <x:c r="I156" s="98" t="n">
        <x:v>46028.43303240741</x:v>
      </x:c>
      <x:c r="J156" s="95" t="str">
        <x:v>Tue</x:v>
      </x:c>
      <x:c r="K156" s="95" t="n">
        <x:v>1</x:v>
      </x:c>
      <x:c r="L156" s="95" t="str">
        <x:v>Completed</x:v>
      </x:c>
      <x:c r="M156" s="95" t="str">
        <x:v>Goods Cage</x:v>
      </x:c>
      <x:c r="N156" s="95" t="str">
        <x:v>D21-STORES</x:v>
      </x:c>
      <x:c r="O156" s="95" t="str">
        <x:v>D49-STORES</x:v>
      </x:c>
      <x:c r="P156" s="95" t="str">
        <x:v>D49-STORES</x:v>
      </x:c>
      <x:c r="Q156" s="95" t="str">
        <x:v>AMR pickup completed</x:v>
      </x:c>
      <x:c r="R156" s="98" t="n">
        <x:v>46028.43303240741</x:v>
      </x:c>
      <x:c r="S156" s="95" t="str">
        <x:v>Generated delayed return for GEN_STORES_D21_01445</x:v>
      </x:c>
    </x:row>
    <x:row r="157" ht="42" customHeight="1">
      <x:c r="A157" s="95" t="str">
        <x:v>RETURN-GEN_STORES_D21_01448-1440</x:v>
      </x:c>
      <x:c r="B157" s="95" t="str">
        <x:v>GEN_STORES_D21_01448</x:v>
      </x:c>
      <x:c r="C157" s="95" t="str">
        <x:v>D21</x:v>
      </x:c>
      <x:c r="D157" s="95" t="str">
        <x:v>Intensive Care</x:v>
      </x:c>
      <x:c r="E157" s="95" t="str">
        <x:v>L01</x:v>
      </x:c>
      <x:c r="F157" s="95" t="str">
        <x:v>Collection</x:v>
      </x:c>
      <x:c r="G157" s="95" t="str">
        <x:v>return</x:v>
      </x:c>
      <x:c r="H157" s="98" t="n">
        <x:v>46028.44001157407</x:v>
      </x:c>
      <x:c r="I157" s="98" t="n">
        <x:v>46028.44162037037</x:v>
      </x:c>
      <x:c r="J157" s="95" t="str">
        <x:v>Tue</x:v>
      </x:c>
      <x:c r="K157" s="95" t="n">
        <x:v>1</x:v>
      </x:c>
      <x:c r="L157" s="95" t="str">
        <x:v>Completed</x:v>
      </x:c>
      <x:c r="M157" s="95" t="str">
        <x:v>Goods Cage</x:v>
      </x:c>
      <x:c r="N157" s="95" t="str">
        <x:v>D21-STORES</x:v>
      </x:c>
      <x:c r="O157" s="95" t="str">
        <x:v>D49-STORES</x:v>
      </x:c>
      <x:c r="P157" s="95" t="str">
        <x:v>D49-STORES</x:v>
      </x:c>
      <x:c r="Q157" s="95" t="str">
        <x:v>AMR pickup completed</x:v>
      </x:c>
      <x:c r="R157" s="98" t="n">
        <x:v>46028.44162037037</x:v>
      </x:c>
      <x:c r="S157" s="95" t="str">
        <x:v>Generated delayed return for GEN_STORES_D21_01448</x:v>
      </x:c>
    </x:row>
    <x:row r="158" ht="42" customHeight="1">
      <x:c r="A158" s="95" t="str">
        <x:v>RETURN-GEN_STORES_D21_01449-1442</x:v>
      </x:c>
      <x:c r="B158" s="95" t="str">
        <x:v>GEN_STORES_D21_01449</x:v>
      </x:c>
      <x:c r="C158" s="95" t="str">
        <x:v>D21</x:v>
      </x:c>
      <x:c r="D158" s="95" t="str">
        <x:v>Intensive Care</x:v>
      </x:c>
      <x:c r="E158" s="95" t="str">
        <x:v>L01</x:v>
      </x:c>
      <x:c r="F158" s="95" t="str">
        <x:v>Collection</x:v>
      </x:c>
      <x:c r="G158" s="95" t="str">
        <x:v>return</x:v>
      </x:c>
      <x:c r="H158" s="98" t="n">
        <x:v>46028.45195601852</x:v>
      </x:c>
      <x:c r="I158" s="98" t="n">
        <x:v>46028.453993055555</x:v>
      </x:c>
      <x:c r="J158" s="95" t="str">
        <x:v>Tue</x:v>
      </x:c>
      <x:c r="K158" s="95" t="n">
        <x:v>1</x:v>
      </x:c>
      <x:c r="L158" s="95" t="str">
        <x:v>Completed</x:v>
      </x:c>
      <x:c r="M158" s="95" t="str">
        <x:v>Goods Cage</x:v>
      </x:c>
      <x:c r="N158" s="95" t="str">
        <x:v>D21-STORES</x:v>
      </x:c>
      <x:c r="O158" s="95" t="str">
        <x:v>D49-STORES</x:v>
      </x:c>
      <x:c r="P158" s="95" t="str">
        <x:v>D49-STORES</x:v>
      </x:c>
      <x:c r="Q158" s="95" t="str">
        <x:v>AMR pickup completed</x:v>
      </x:c>
      <x:c r="R158" s="98" t="n">
        <x:v>46028.453993055555</x:v>
      </x:c>
      <x:c r="S158" s="95" t="str">
        <x:v>Generated delayed return for GEN_STORES_D21_01449</x:v>
      </x:c>
    </x:row>
    <x:row r="159" ht="42" customHeight="1">
      <x:c r="A159" s="95" t="str">
        <x:v>RETURN-GEN_STORES_D22_00121-62</x:v>
      </x:c>
      <x:c r="B159" s="95" t="str">
        <x:v>GEN_STORES_D22_00121</x:v>
      </x:c>
      <x:c r="C159" s="95" t="str">
        <x:v>D22</x:v>
      </x:c>
      <x:c r="D159" s="95" t="str">
        <x:v>Endoscopy</x:v>
      </x:c>
      <x:c r="E159" s="95" t="str">
        <x:v>L01</x:v>
      </x:c>
      <x:c r="F159" s="95" t="str">
        <x:v>Collection</x:v>
      </x:c>
      <x:c r="G159" s="95" t="str">
        <x:v>return</x:v>
      </x:c>
      <x:c r="H159" s="98" t="n">
        <x:v>46023.398506944446</x:v>
      </x:c>
      <x:c r="I159" s="98" t="n">
        <x:v>46023.40230324074</x:v>
      </x:c>
      <x:c r="J159" s="95" t="str">
        <x:v>Thu</x:v>
      </x:c>
      <x:c r="K159" s="95" t="n">
        <x:v>1</x:v>
      </x:c>
      <x:c r="L159" s="95" t="str">
        <x:v>Completed</x:v>
      </x:c>
      <x:c r="M159" s="95" t="str">
        <x:v>Goods Cage</x:v>
      </x:c>
      <x:c r="N159" s="95" t="str">
        <x:v>D22-STORES</x:v>
      </x:c>
      <x:c r="O159" s="95" t="str">
        <x:v>D49-STORES</x:v>
      </x:c>
      <x:c r="P159" s="95" t="str">
        <x:v>D49-STORES</x:v>
      </x:c>
      <x:c r="Q159" s="95" t="str">
        <x:v>AMR pickup completed</x:v>
      </x:c>
      <x:c r="R159" s="98" t="n">
        <x:v>46023.40230324074</x:v>
      </x:c>
      <x:c r="S159" s="95" t="str">
        <x:v>Generated delayed return for GEN_STORES_D22_00121</x:v>
      </x:c>
    </x:row>
    <x:row r="160" ht="42" customHeight="1">
      <x:c r="A160" s="95" t="str">
        <x:v>RETURN-GEN_STORES_D22_00123-65</x:v>
      </x:c>
      <x:c r="B160" s="95" t="str">
        <x:v>GEN_STORES_D22_00123</x:v>
      </x:c>
      <x:c r="C160" s="95" t="str">
        <x:v>D22</x:v>
      </x:c>
      <x:c r="D160" s="95" t="str">
        <x:v>Endoscopy</x:v>
      </x:c>
      <x:c r="E160" s="95" t="str">
        <x:v>L01</x:v>
      </x:c>
      <x:c r="F160" s="95" t="str">
        <x:v>Collection</x:v>
      </x:c>
      <x:c r="G160" s="95" t="str">
        <x:v>return</x:v>
      </x:c>
      <x:c r="H160" s="98" t="n">
        <x:v>46023.42994212963</x:v>
      </x:c>
      <x:c r="I160" s="98" t="n">
        <x:v>46023.43361111111</x:v>
      </x:c>
      <x:c r="J160" s="95" t="str">
        <x:v>Thu</x:v>
      </x:c>
      <x:c r="K160" s="95" t="n">
        <x:v>1</x:v>
      </x:c>
      <x:c r="L160" s="95" t="str">
        <x:v>Completed</x:v>
      </x:c>
      <x:c r="M160" s="95" t="str">
        <x:v>Goods Cage</x:v>
      </x:c>
      <x:c r="N160" s="95" t="str">
        <x:v>D22-STORES</x:v>
      </x:c>
      <x:c r="O160" s="95" t="str">
        <x:v>D49-STORES</x:v>
      </x:c>
      <x:c r="P160" s="95" t="str">
        <x:v>D49-STORES</x:v>
      </x:c>
      <x:c r="Q160" s="95" t="str">
        <x:v>AMR pickup completed</x:v>
      </x:c>
      <x:c r="R160" s="98" t="n">
        <x:v>46023.43361111111</x:v>
      </x:c>
      <x:c r="S160" s="95" t="str">
        <x:v>Generated delayed return for GEN_STORES_D22_00123</x:v>
      </x:c>
    </x:row>
    <x:row r="161" ht="42" customHeight="1">
      <x:c r="A161" s="95" t="str">
        <x:v>RETURN-GEN_STORES_D22_00124-70</x:v>
      </x:c>
      <x:c r="B161" s="95" t="str">
        <x:v>GEN_STORES_D22_00124</x:v>
      </x:c>
      <x:c r="C161" s="95" t="str">
        <x:v>D22</x:v>
      </x:c>
      <x:c r="D161" s="95" t="str">
        <x:v>Endoscopy</x:v>
      </x:c>
      <x:c r="E161" s="95" t="str">
        <x:v>L01</x:v>
      </x:c>
      <x:c r="F161" s="95" t="str">
        <x:v>Collection</x:v>
      </x:c>
      <x:c r="G161" s="95" t="str">
        <x:v>return</x:v>
      </x:c>
      <x:c r="H161" s="98" t="n">
        <x:v>46023.4609837963</x:v>
      </x:c>
      <x:c r="I161" s="98" t="n">
        <x:v>46023.463159722225</x:v>
      </x:c>
      <x:c r="J161" s="95" t="str">
        <x:v>Thu</x:v>
      </x:c>
      <x:c r="K161" s="95" t="n">
        <x:v>1</x:v>
      </x:c>
      <x:c r="L161" s="95" t="str">
        <x:v>Completed</x:v>
      </x:c>
      <x:c r="M161" s="95" t="str">
        <x:v>Goods Cage</x:v>
      </x:c>
      <x:c r="N161" s="95" t="str">
        <x:v>D22-STORES</x:v>
      </x:c>
      <x:c r="O161" s="95" t="str">
        <x:v>D49-STORES</x:v>
      </x:c>
      <x:c r="P161" s="95" t="str">
        <x:v>D49-STORES</x:v>
      </x:c>
      <x:c r="Q161" s="95" t="str">
        <x:v>AMR pickup completed</x:v>
      </x:c>
      <x:c r="R161" s="98" t="n">
        <x:v>46023.463159722225</x:v>
      </x:c>
      <x:c r="S161" s="95" t="str">
        <x:v>Generated delayed return for GEN_STORES_D22_00124</x:v>
      </x:c>
    </x:row>
    <x:row r="162" ht="42" customHeight="1">
      <x:c r="A162" s="95" t="str">
        <x:v>RETURN-GEN_STORES_D22_01005-1187</x:v>
      </x:c>
      <x:c r="B162" s="95" t="str">
        <x:v>GEN_STORES_D22_01005</x:v>
      </x:c>
      <x:c r="C162" s="95" t="str">
        <x:v>D22</x:v>
      </x:c>
      <x:c r="D162" s="95" t="str">
        <x:v>Endoscopy</x:v>
      </x:c>
      <x:c r="E162" s="95" t="str">
        <x:v>L01</x:v>
      </x:c>
      <x:c r="F162" s="95" t="str">
        <x:v>Collection</x:v>
      </x:c>
      <x:c r="G162" s="95" t="str">
        <x:v>return</x:v>
      </x:c>
      <x:c r="H162" s="98" t="n">
        <x:v>46027.37758101852</x:v>
      </x:c>
      <x:c r="I162" s="98" t="n">
        <x:v>46027.3778125</x:v>
      </x:c>
      <x:c r="J162" s="95" t="str">
        <x:v>Mon</x:v>
      </x:c>
      <x:c r="K162" s="95" t="n">
        <x:v>1</x:v>
      </x:c>
      <x:c r="L162" s="95" t="str">
        <x:v>Completed</x:v>
      </x:c>
      <x:c r="M162" s="95" t="str">
        <x:v>Goods Cage</x:v>
      </x:c>
      <x:c r="N162" s="95" t="str">
        <x:v>D22-STORES</x:v>
      </x:c>
      <x:c r="O162" s="95" t="str">
        <x:v>D49-STORES</x:v>
      </x:c>
      <x:c r="P162" s="95" t="str">
        <x:v>D49-STORES</x:v>
      </x:c>
      <x:c r="Q162" s="95" t="str">
        <x:v>AMR pickup completed</x:v>
      </x:c>
      <x:c r="R162" s="98" t="n">
        <x:v>46027.3778125</x:v>
      </x:c>
      <x:c r="S162" s="95" t="str">
        <x:v>Generated delayed return for GEN_STORES_D22_01005</x:v>
      </x:c>
    </x:row>
    <x:row r="163" ht="42" customHeight="1">
      <x:c r="A163" s="95" t="str">
        <x:v>RETURN-GEN_STORES_D22_01104-1189</x:v>
      </x:c>
      <x:c r="B163" s="95" t="str">
        <x:v>GEN_STORES_D22_01104</x:v>
      </x:c>
      <x:c r="C163" s="95" t="str">
        <x:v>D22</x:v>
      </x:c>
      <x:c r="D163" s="95" t="str">
        <x:v>Endoscopy</x:v>
      </x:c>
      <x:c r="E163" s="95" t="str">
        <x:v>L01</x:v>
      </x:c>
      <x:c r="F163" s="95" t="str">
        <x:v>Collection</x:v>
      </x:c>
      <x:c r="G163" s="95" t="str">
        <x:v>return</x:v>
      </x:c>
      <x:c r="H163" s="98" t="n">
        <x:v>46027.38800925926</x:v>
      </x:c>
      <x:c r="I163" s="98" t="n">
        <x:v>46027.388240740744</x:v>
      </x:c>
      <x:c r="J163" s="95" t="str">
        <x:v>Mon</x:v>
      </x:c>
      <x:c r="K163" s="95" t="n">
        <x:v>1</x:v>
      </x:c>
      <x:c r="L163" s="95" t="str">
        <x:v>Completed</x:v>
      </x:c>
      <x:c r="M163" s="95" t="str">
        <x:v>Goods Cage</x:v>
      </x:c>
      <x:c r="N163" s="95" t="str">
        <x:v>D22-STORES</x:v>
      </x:c>
      <x:c r="O163" s="95" t="str">
        <x:v>D49-STORES</x:v>
      </x:c>
      <x:c r="P163" s="95" t="str">
        <x:v>D49-STORES</x:v>
      </x:c>
      <x:c r="Q163" s="95" t="str">
        <x:v>AMR pickup completed</x:v>
      </x:c>
      <x:c r="R163" s="98" t="n">
        <x:v>46027.388240740744</x:v>
      </x:c>
      <x:c r="S163" s="95" t="str">
        <x:v>Generated delayed return for GEN_STORES_D22_01104</x:v>
      </x:c>
    </x:row>
    <x:row r="164" ht="42" customHeight="1">
      <x:c r="A164" s="95" t="str">
        <x:v>RETURN-GEN_STORES_D22_01105-1192</x:v>
      </x:c>
      <x:c r="B164" s="95" t="str">
        <x:v>GEN_STORES_D22_01105</x:v>
      </x:c>
      <x:c r="C164" s="95" t="str">
        <x:v>D22</x:v>
      </x:c>
      <x:c r="D164" s="95" t="str">
        <x:v>Endoscopy</x:v>
      </x:c>
      <x:c r="E164" s="95" t="str">
        <x:v>L01</x:v>
      </x:c>
      <x:c r="F164" s="95" t="str">
        <x:v>Collection</x:v>
      </x:c>
      <x:c r="G164" s="95" t="str">
        <x:v>return</x:v>
      </x:c>
      <x:c r="H164" s="98" t="n">
        <x:v>46027.39837962963</x:v>
      </x:c>
      <x:c r="I164" s="98" t="n">
        <x:v>46027.39861111111</x:v>
      </x:c>
      <x:c r="J164" s="95" t="str">
        <x:v>Mon</x:v>
      </x:c>
      <x:c r="K164" s="95" t="n">
        <x:v>1</x:v>
      </x:c>
      <x:c r="L164" s="95" t="str">
        <x:v>Completed</x:v>
      </x:c>
      <x:c r="M164" s="95" t="str">
        <x:v>Goods Cage</x:v>
      </x:c>
      <x:c r="N164" s="95" t="str">
        <x:v>D22-STORES</x:v>
      </x:c>
      <x:c r="O164" s="95" t="str">
        <x:v>D49-STORES</x:v>
      </x:c>
      <x:c r="P164" s="95" t="str">
        <x:v>D49-STORES</x:v>
      </x:c>
      <x:c r="Q164" s="95" t="str">
        <x:v>AMR pickup completed</x:v>
      </x:c>
      <x:c r="R164" s="98" t="n">
        <x:v>46027.39861111111</x:v>
      </x:c>
      <x:c r="S164" s="95" t="str">
        <x:v>Generated delayed return for GEN_STORES_D22_01105</x:v>
      </x:c>
    </x:row>
    <x:row r="165" ht="42" customHeight="1">
      <x:c r="A165" s="95" t="str">
        <x:v>RETURN-GEN_STORES_D23_01106-1193</x:v>
      </x:c>
      <x:c r="B165" s="95" t="str">
        <x:v>GEN_STORES_D23_01106</x:v>
      </x:c>
      <x:c r="C165" s="95" t="str">
        <x:v>D23</x:v>
      </x:c>
      <x:c r="D165" s="95" t="str">
        <x:v>Gynae Outpatients</x:v>
      </x:c>
      <x:c r="E165" s="95" t="str">
        <x:v>L01</x:v>
      </x:c>
      <x:c r="F165" s="95" t="str">
        <x:v>Collection</x:v>
      </x:c>
      <x:c r="G165" s="95" t="str">
        <x:v>return</x:v>
      </x:c>
      <x:c r="H165" s="98" t="n">
        <x:v>46027.40872685185</x:v>
      </x:c>
      <x:c r="I165" s="98" t="n">
        <x:v>46027.40895833333</x:v>
      </x:c>
      <x:c r="J165" s="95" t="str">
        <x:v>Mon</x:v>
      </x:c>
      <x:c r="K165" s="95" t="n">
        <x:v>1</x:v>
      </x:c>
      <x:c r="L165" s="95" t="str">
        <x:v>Completed</x:v>
      </x:c>
      <x:c r="M165" s="95" t="str">
        <x:v>Goods Cage</x:v>
      </x:c>
      <x:c r="N165" s="95" t="str">
        <x:v>D22-STORES</x:v>
      </x:c>
      <x:c r="O165" s="95" t="str">
        <x:v>D49-STORES</x:v>
      </x:c>
      <x:c r="P165" s="95" t="str">
        <x:v>D49-STORES</x:v>
      </x:c>
      <x:c r="Q165" s="95" t="str">
        <x:v>AMR pickup completed</x:v>
      </x:c>
      <x:c r="R165" s="98" t="n">
        <x:v>46027.40895833333</x:v>
      </x:c>
      <x:c r="S165" s="95" t="str">
        <x:v>Generated delayed return for GEN_STORES_D23_01106</x:v>
      </x:c>
    </x:row>
    <x:row r="166" ht="42" customHeight="1">
      <x:c r="A166" s="95" t="str">
        <x:v>RETURN-GEN_STORES_D23_01107-1194</x:v>
      </x:c>
      <x:c r="B166" s="95" t="str">
        <x:v>GEN_STORES_D23_01107</x:v>
      </x:c>
      <x:c r="C166" s="95" t="str">
        <x:v>D23</x:v>
      </x:c>
      <x:c r="D166" s="95" t="str">
        <x:v>Gynae Outpatients</x:v>
      </x:c>
      <x:c r="E166" s="95" t="str">
        <x:v>L01</x:v>
      </x:c>
      <x:c r="F166" s="95" t="str">
        <x:v>Collection</x:v>
      </x:c>
      <x:c r="G166" s="95" t="str">
        <x:v>return</x:v>
      </x:c>
      <x:c r="H166" s="98" t="n">
        <x:v>46027.41920138889</x:v>
      </x:c>
      <x:c r="I166" s="98" t="n">
        <x:v>46027.42400462963</x:v>
      </x:c>
      <x:c r="J166" s="95" t="str">
        <x:v>Mon</x:v>
      </x:c>
      <x:c r="K166" s="95" t="n">
        <x:v>1</x:v>
      </x:c>
      <x:c r="L166" s="95" t="str">
        <x:v>Completed</x:v>
      </x:c>
      <x:c r="M166" s="95" t="str">
        <x:v>Goods Cage</x:v>
      </x:c>
      <x:c r="N166" s="95" t="str">
        <x:v>D22-STORES</x:v>
      </x:c>
      <x:c r="O166" s="95" t="str">
        <x:v>D49-STORES</x:v>
      </x:c>
      <x:c r="P166" s="95" t="str">
        <x:v>D49-STORES</x:v>
      </x:c>
      <x:c r="Q166" s="95" t="str">
        <x:v>AMR pickup completed</x:v>
      </x:c>
      <x:c r="R166" s="98" t="n">
        <x:v>46027.42400462963</x:v>
      </x:c>
      <x:c r="S166" s="95" t="str">
        <x:v>Generated delayed return for GEN_STORES_D23_01107</x:v>
      </x:c>
    </x:row>
    <x:row r="167" ht="42" customHeight="1">
      <x:c r="A167" s="95" t="str">
        <x:v>RETURN-GEN_STORES_D23_01111-1195</x:v>
      </x:c>
      <x:c r="B167" s="95" t="str">
        <x:v>GEN_STORES_D23_01111</x:v>
      </x:c>
      <x:c r="C167" s="95" t="str">
        <x:v>D23</x:v>
      </x:c>
      <x:c r="D167" s="95" t="str">
        <x:v>Gynae Outpatients</x:v>
      </x:c>
      <x:c r="E167" s="95" t="str">
        <x:v>L01</x:v>
      </x:c>
      <x:c r="F167" s="95" t="str">
        <x:v>Collection</x:v>
      </x:c>
      <x:c r="G167" s="95" t="str">
        <x:v>return</x:v>
      </x:c>
      <x:c r="H167" s="98" t="n">
        <x:v>46027.43</x:v>
      </x:c>
      <x:c r="I167" s="98" t="n">
        <x:v>46027.430231481485</x:v>
      </x:c>
      <x:c r="J167" s="95" t="str">
        <x:v>Mon</x:v>
      </x:c>
      <x:c r="K167" s="95" t="n">
        <x:v>1</x:v>
      </x:c>
      <x:c r="L167" s="95" t="str">
        <x:v>Completed</x:v>
      </x:c>
      <x:c r="M167" s="95" t="str">
        <x:v>Goods Cage</x:v>
      </x:c>
      <x:c r="N167" s="95" t="str">
        <x:v>D22-STORES</x:v>
      </x:c>
      <x:c r="O167" s="95" t="str">
        <x:v>D49-STORES</x:v>
      </x:c>
      <x:c r="P167" s="95" t="str">
        <x:v>D49-STORES</x:v>
      </x:c>
      <x:c r="Q167" s="95" t="str">
        <x:v>AMR pickup completed</x:v>
      </x:c>
      <x:c r="R167" s="98" t="n">
        <x:v>46027.430231481485</x:v>
      </x:c>
      <x:c r="S167" s="95" t="str">
        <x:v>Generated delayed return for GEN_STORES_D23_01111</x:v>
      </x:c>
    </x:row>
    <x:row r="168" ht="42" customHeight="1">
      <x:c r="A168" s="95" t="str">
        <x:v>RETURN-GEN_STORES_D24_01112-1199</x:v>
      </x:c>
      <x:c r="B168" s="95" t="str">
        <x:v>GEN_STORES_D24_01112</x:v>
      </x:c>
      <x:c r="C168" s="95" t="str">
        <x:v>D24</x:v>
      </x:c>
      <x:c r="D168" s="95" t="str">
        <x:v>Urology Outpatients</x:v>
      </x:c>
      <x:c r="E168" s="95" t="str">
        <x:v>L01</x:v>
      </x:c>
      <x:c r="F168" s="95" t="str">
        <x:v>Collection</x:v>
      </x:c>
      <x:c r="G168" s="95" t="str">
        <x:v>return</x:v>
      </x:c>
      <x:c r="H168" s="98" t="n">
        <x:v>46027.48173611111</x:v>
      </x:c>
      <x:c r="I168" s="98" t="n">
        <x:v>46027.482141203705</x:v>
      </x:c>
      <x:c r="J168" s="95" t="str">
        <x:v>Mon</x:v>
      </x:c>
      <x:c r="K168" s="95" t="n">
        <x:v>1</x:v>
      </x:c>
      <x:c r="L168" s="95" t="str">
        <x:v>Completed</x:v>
      </x:c>
      <x:c r="M168" s="95" t="str">
        <x:v>Goods Cage</x:v>
      </x:c>
      <x:c r="N168" s="95" t="str">
        <x:v>D22-STORES</x:v>
      </x:c>
      <x:c r="O168" s="95" t="str">
        <x:v>D49-STORES</x:v>
      </x:c>
      <x:c r="P168" s="95" t="str">
        <x:v>D49-STORES</x:v>
      </x:c>
      <x:c r="Q168" s="95" t="str">
        <x:v>AMR pickup completed</x:v>
      </x:c>
      <x:c r="R168" s="98" t="n">
        <x:v>46027.482141203705</x:v>
      </x:c>
      <x:c r="S168" s="95" t="str">
        <x:v>Generated delayed return for GEN_STORES_D24_01112</x:v>
      </x:c>
    </x:row>
    <x:row r="169" ht="42" customHeight="1">
      <x:c r="A169" s="95" t="str">
        <x:v>RETURN-GEN_STORES_D24_01113-1200</x:v>
      </x:c>
      <x:c r="B169" s="95" t="str">
        <x:v>GEN_STORES_D24_01113</x:v>
      </x:c>
      <x:c r="C169" s="95" t="str">
        <x:v>D24</x:v>
      </x:c>
      <x:c r="D169" s="95" t="str">
        <x:v>Urology Outpatients</x:v>
      </x:c>
      <x:c r="E169" s="95" t="str">
        <x:v>L01</x:v>
      </x:c>
      <x:c r="F169" s="95" t="str">
        <x:v>Collection</x:v>
      </x:c>
      <x:c r="G169" s="95" t="str">
        <x:v>return</x:v>
      </x:c>
      <x:c r="H169" s="98" t="n">
        <x:v>46027.49229166667</x:v>
      </x:c>
      <x:c r="I169" s="98" t="n">
        <x:v>46027.49252314815</x:v>
      </x:c>
      <x:c r="J169" s="95" t="str">
        <x:v>Mon</x:v>
      </x:c>
      <x:c r="K169" s="95" t="n">
        <x:v>1</x:v>
      </x:c>
      <x:c r="L169" s="95" t="str">
        <x:v>Completed</x:v>
      </x:c>
      <x:c r="M169" s="95" t="str">
        <x:v>Goods Cage</x:v>
      </x:c>
      <x:c r="N169" s="95" t="str">
        <x:v>D22-STORES</x:v>
      </x:c>
      <x:c r="O169" s="95" t="str">
        <x:v>D49-STORES</x:v>
      </x:c>
      <x:c r="P169" s="95" t="str">
        <x:v>D49-STORES</x:v>
      </x:c>
      <x:c r="Q169" s="95" t="str">
        <x:v>AMR pickup completed</x:v>
      </x:c>
      <x:c r="R169" s="98" t="n">
        <x:v>46027.49252314815</x:v>
      </x:c>
      <x:c r="S169" s="95" t="str">
        <x:v>Generated delayed return for GEN_STORES_D24_01113</x:v>
      </x:c>
    </x:row>
    <x:row r="170" ht="42" customHeight="1">
      <x:c r="A170" s="95" t="str">
        <x:v>RETURN-GEN_STORES_D24_01114-1201</x:v>
      </x:c>
      <x:c r="B170" s="95" t="str">
        <x:v>GEN_STORES_D24_01114</x:v>
      </x:c>
      <x:c r="C170" s="95" t="str">
        <x:v>D24</x:v>
      </x:c>
      <x:c r="D170" s="95" t="str">
        <x:v>Urology Outpatients</x:v>
      </x:c>
      <x:c r="E170" s="95" t="str">
        <x:v>L01</x:v>
      </x:c>
      <x:c r="F170" s="95" t="str">
        <x:v>Collection</x:v>
      </x:c>
      <x:c r="G170" s="95" t="str">
        <x:v>return</x:v>
      </x:c>
      <x:c r="H170" s="98" t="n">
        <x:v>46027.50268518519</x:v>
      </x:c>
      <x:c r="I170" s="98" t="n">
        <x:v>46027.502916666665</x:v>
      </x:c>
      <x:c r="J170" s="95" t="str">
        <x:v>Mon</x:v>
      </x:c>
      <x:c r="K170" s="95" t="n">
        <x:v>1</x:v>
      </x:c>
      <x:c r="L170" s="95" t="str">
        <x:v>Completed</x:v>
      </x:c>
      <x:c r="M170" s="95" t="str">
        <x:v>Goods Cage</x:v>
      </x:c>
      <x:c r="N170" s="95" t="str">
        <x:v>D22-STORES</x:v>
      </x:c>
      <x:c r="O170" s="95" t="str">
        <x:v>D49-STORES</x:v>
      </x:c>
      <x:c r="P170" s="95" t="str">
        <x:v>D49-STORES</x:v>
      </x:c>
      <x:c r="Q170" s="95" t="str">
        <x:v>AMR pickup completed</x:v>
      </x:c>
      <x:c r="R170" s="98" t="n">
        <x:v>46027.502916666665</x:v>
      </x:c>
      <x:c r="S170" s="95" t="str">
        <x:v>Generated delayed return for GEN_STORES_D24_01114</x:v>
      </x:c>
    </x:row>
    <x:row r="171" ht="42" customHeight="1">
      <x:c r="A171" s="95" t="str">
        <x:v>RETURN-GEN_STORES_D27_01116-1202</x:v>
      </x:c>
      <x:c r="B171" s="95" t="str">
        <x:v>GEN_STORES_D27_01116</x:v>
      </x:c>
      <x:c r="C171" s="95" t="str">
        <x:v>D27</x:v>
      </x:c>
      <x:c r="D171" s="95" t="str">
        <x:v>Minor ops Suite</x:v>
      </x:c>
      <x:c r="E171" s="95" t="str">
        <x:v>L01</x:v>
      </x:c>
      <x:c r="F171" s="95" t="str">
        <x:v>Collection</x:v>
      </x:c>
      <x:c r="G171" s="95" t="str">
        <x:v>return</x:v>
      </x:c>
      <x:c r="H171" s="98" t="n">
        <x:v>46027.4837962963</x:v>
      </x:c>
      <x:c r="I171" s="98" t="n">
        <x:v>46027.48402777778</x:v>
      </x:c>
      <x:c r="J171" s="95" t="str">
        <x:v>Mon</x:v>
      </x:c>
      <x:c r="K171" s="95" t="n">
        <x:v>1</x:v>
      </x:c>
      <x:c r="L171" s="95" t="str">
        <x:v>Completed</x:v>
      </x:c>
      <x:c r="M171" s="95" t="str">
        <x:v>Goods Cage</x:v>
      </x:c>
      <x:c r="N171" s="95" t="str">
        <x:v>D22-STORES</x:v>
      </x:c>
      <x:c r="O171" s="95" t="str">
        <x:v>D49-STORES</x:v>
      </x:c>
      <x:c r="P171" s="95" t="str">
        <x:v>D49-STORES</x:v>
      </x:c>
      <x:c r="Q171" s="95" t="str">
        <x:v>AMR pickup completed</x:v>
      </x:c>
      <x:c r="R171" s="98" t="n">
        <x:v>46027.48402777778</x:v>
      </x:c>
      <x:c r="S171" s="95" t="str">
        <x:v>Generated delayed return for GEN_STORES_D27_01116</x:v>
      </x:c>
    </x:row>
    <x:row r="172" ht="42" customHeight="1">
      <x:c r="A172" s="95" t="str">
        <x:v>RETURN-GEN_STORES_D27_01117-1208</x:v>
      </x:c>
      <x:c r="B172" s="95" t="str">
        <x:v>GEN_STORES_D27_01117</x:v>
      </x:c>
      <x:c r="C172" s="95" t="str">
        <x:v>D27</x:v>
      </x:c>
      <x:c r="D172" s="95" t="str">
        <x:v>Minor ops Suite</x:v>
      </x:c>
      <x:c r="E172" s="95" t="str">
        <x:v>L01</x:v>
      </x:c>
      <x:c r="F172" s="95" t="str">
        <x:v>Collection</x:v>
      </x:c>
      <x:c r="G172" s="95" t="str">
        <x:v>return</x:v>
      </x:c>
      <x:c r="H172" s="98" t="n">
        <x:v>46027.49232638889</x:v>
      </x:c>
      <x:c r="I172" s="98" t="n">
        <x:v>46027.49469907407</x:v>
      </x:c>
      <x:c r="J172" s="95" t="str">
        <x:v>Mon</x:v>
      </x:c>
      <x:c r="K172" s="95" t="n">
        <x:v>1</x:v>
      </x:c>
      <x:c r="L172" s="95" t="str">
        <x:v>Completed</x:v>
      </x:c>
      <x:c r="M172" s="95" t="str">
        <x:v>Goods Cage</x:v>
      </x:c>
      <x:c r="N172" s="95" t="str">
        <x:v>D22-STORES</x:v>
      </x:c>
      <x:c r="O172" s="95" t="str">
        <x:v>D49-STORES</x:v>
      </x:c>
      <x:c r="P172" s="95" t="str">
        <x:v>D49-STORES</x:v>
      </x:c>
      <x:c r="Q172" s="95" t="str">
        <x:v>AMR pickup completed</x:v>
      </x:c>
      <x:c r="R172" s="98" t="n">
        <x:v>46027.49469907407</x:v>
      </x:c>
      <x:c r="S172" s="95" t="str">
        <x:v>Generated delayed return for GEN_STORES_D27_01117</x:v>
      </x:c>
    </x:row>
    <x:row r="173" ht="42" customHeight="1">
      <x:c r="A173" s="95" t="str">
        <x:v>RETURN-GEN_STORES_D27_01136-1209</x:v>
      </x:c>
      <x:c r="B173" s="95" t="str">
        <x:v>GEN_STORES_D27_01136</x:v>
      </x:c>
      <x:c r="C173" s="95" t="str">
        <x:v>D27</x:v>
      </x:c>
      <x:c r="D173" s="95" t="str">
        <x:v>Minor ops Suite</x:v>
      </x:c>
      <x:c r="E173" s="95" t="str">
        <x:v>L01</x:v>
      </x:c>
      <x:c r="F173" s="95" t="str">
        <x:v>Collection</x:v>
      </x:c>
      <x:c r="G173" s="95" t="str">
        <x:v>return</x:v>
      </x:c>
      <x:c r="H173" s="98" t="n">
        <x:v>46027.50246527778</x:v>
      </x:c>
      <x:c r="I173" s="98" t="n">
        <x:v>46027.504791666666</x:v>
      </x:c>
      <x:c r="J173" s="95" t="str">
        <x:v>Mon</x:v>
      </x:c>
      <x:c r="K173" s="95" t="n">
        <x:v>1</x:v>
      </x:c>
      <x:c r="L173" s="95" t="str">
        <x:v>Completed</x:v>
      </x:c>
      <x:c r="M173" s="95" t="str">
        <x:v>Goods Cage</x:v>
      </x:c>
      <x:c r="N173" s="95" t="str">
        <x:v>D22-STORES</x:v>
      </x:c>
      <x:c r="O173" s="95" t="str">
        <x:v>D49-STORES</x:v>
      </x:c>
      <x:c r="P173" s="95" t="str">
        <x:v>D49-STORES</x:v>
      </x:c>
      <x:c r="Q173" s="95" t="str">
        <x:v>AMR pickup completed</x:v>
      </x:c>
      <x:c r="R173" s="98" t="n">
        <x:v>46027.504791666666</x:v>
      </x:c>
      <x:c r="S173" s="95" t="str">
        <x:v>Generated delayed return for GEN_STORES_D27_01136</x:v>
      </x:c>
    </x:row>
    <x:row r="174" ht="42" customHeight="1">
      <x:c r="A174" s="95" t="str">
        <x:v>RETURN-GEN_STORES_D29_00125-72</x:v>
      </x:c>
      <x:c r="B174" s="95" t="str">
        <x:v>GEN_STORES_D29_00125</x:v>
      </x:c>
      <x:c r="C174" s="95" t="str">
        <x:v>D29</x:v>
      </x:c>
      <x:c r="D174" s="95" t="str">
        <x:v>Paediatric Inpatients</x:v>
      </x:c>
      <x:c r="E174" s="95" t="str">
        <x:v>L03</x:v>
      </x:c>
      <x:c r="F174" s="95" t="str">
        <x:v>Collection</x:v>
      </x:c>
      <x:c r="G174" s="95" t="str">
        <x:v>return</x:v>
      </x:c>
      <x:c r="H174" s="98" t="n">
        <x:v>46023.50601851852</x:v>
      </x:c>
      <x:c r="I174" s="98" t="n">
        <x:v>46023.50853009259</x:v>
      </x:c>
      <x:c r="J174" s="95" t="str">
        <x:v>Thu</x:v>
      </x:c>
      <x:c r="K174" s="95" t="n">
        <x:v>1</x:v>
      </x:c>
      <x:c r="L174" s="95" t="str">
        <x:v>Completed</x:v>
      </x:c>
      <x:c r="M174" s="95" t="str">
        <x:v>Goods Cage</x:v>
      </x:c>
      <x:c r="N174" s="95" t="str">
        <x:v>D29-DROP-ZONE</x:v>
      </x:c>
      <x:c r="O174" s="95" t="str">
        <x:v>D49-STORES</x:v>
      </x:c>
      <x:c r="P174" s="95" t="str">
        <x:v>D49-STORES</x:v>
      </x:c>
      <x:c r="Q174" s="95" t="str">
        <x:v>AMR pickup completed</x:v>
      </x:c>
      <x:c r="R174" s="98" t="n">
        <x:v>46023.50853009259</x:v>
      </x:c>
      <x:c r="S174" s="95" t="str">
        <x:v>Generated delayed return for GEN_STORES_D29_00125</x:v>
      </x:c>
    </x:row>
    <x:row r="175" ht="42" customHeight="1">
      <x:c r="A175" s="95" t="str">
        <x:v>RETURN-GEN_STORES_D29_00145-112</x:v>
      </x:c>
      <x:c r="B175" s="95" t="str">
        <x:v>GEN_STORES_D29_00145</x:v>
      </x:c>
      <x:c r="C175" s="95" t="str">
        <x:v>D29</x:v>
      </x:c>
      <x:c r="D175" s="95" t="str">
        <x:v>Paediatric Inpatients</x:v>
      </x:c>
      <x:c r="E175" s="95" t="str">
        <x:v>L03</x:v>
      </x:c>
      <x:c r="F175" s="95" t="str">
        <x:v>Collection</x:v>
      </x:c>
      <x:c r="G175" s="95" t="str">
        <x:v>return</x:v>
      </x:c>
      <x:c r="H175" s="98" t="n">
        <x:v>46023.54587962963</x:v>
      </x:c>
      <x:c r="I175" s="98" t="n">
        <x:v>46023.549837962964</x:v>
      </x:c>
      <x:c r="J175" s="95" t="str">
        <x:v>Thu</x:v>
      </x:c>
      <x:c r="K175" s="95" t="n">
        <x:v>1</x:v>
      </x:c>
      <x:c r="L175" s="95" t="str">
        <x:v>Completed</x:v>
      </x:c>
      <x:c r="M175" s="95" t="str">
        <x:v>Goods Cage</x:v>
      </x:c>
      <x:c r="N175" s="95" t="str">
        <x:v>D29-DROP-ZONE</x:v>
      </x:c>
      <x:c r="O175" s="95" t="str">
        <x:v>D49-STORES</x:v>
      </x:c>
      <x:c r="P175" s="95" t="str">
        <x:v>D49-STORES</x:v>
      </x:c>
      <x:c r="Q175" s="95" t="str">
        <x:v>AMR pickup completed</x:v>
      </x:c>
      <x:c r="R175" s="98" t="n">
        <x:v>46023.549837962964</x:v>
      </x:c>
      <x:c r="S175" s="95" t="str">
        <x:v>Generated delayed return for GEN_STORES_D29_00145</x:v>
      </x:c>
    </x:row>
    <x:row r="176" ht="42" customHeight="1">
      <x:c r="A176" s="95" t="str">
        <x:v>RETURN-GEN_STORES_D29_00164-123</x:v>
      </x:c>
      <x:c r="B176" s="95" t="str">
        <x:v>GEN_STORES_D29_00164</x:v>
      </x:c>
      <x:c r="C176" s="95" t="str">
        <x:v>D29</x:v>
      </x:c>
      <x:c r="D176" s="95" t="str">
        <x:v>Paediatric Inpatients</x:v>
      </x:c>
      <x:c r="E176" s="95" t="str">
        <x:v>L03</x:v>
      </x:c>
      <x:c r="F176" s="95" t="str">
        <x:v>Collection</x:v>
      </x:c>
      <x:c r="G176" s="95" t="str">
        <x:v>return</x:v>
      </x:c>
      <x:c r="H176" s="98" t="n">
        <x:v>46023.57716435185</x:v>
      </x:c>
      <x:c r="I176" s="98" t="n">
        <x:v>46023.57980324074</x:v>
      </x:c>
      <x:c r="J176" s="95" t="str">
        <x:v>Thu</x:v>
      </x:c>
      <x:c r="K176" s="95" t="n">
        <x:v>1</x:v>
      </x:c>
      <x:c r="L176" s="95" t="str">
        <x:v>Completed</x:v>
      </x:c>
      <x:c r="M176" s="95" t="str">
        <x:v>Goods Cage</x:v>
      </x:c>
      <x:c r="N176" s="95" t="str">
        <x:v>D29-DROP-ZONE</x:v>
      </x:c>
      <x:c r="O176" s="95" t="str">
        <x:v>D49-STORES</x:v>
      </x:c>
      <x:c r="P176" s="95" t="str">
        <x:v>D49-STORES</x:v>
      </x:c>
      <x:c r="Q176" s="95" t="str">
        <x:v>AMR pickup completed</x:v>
      </x:c>
      <x:c r="R176" s="98" t="n">
        <x:v>46023.57980324074</x:v>
      </x:c>
      <x:c r="S176" s="95" t="str">
        <x:v>Generated delayed return for GEN_STORES_D29_00164</x:v>
      </x:c>
    </x:row>
    <x:row r="177" ht="42" customHeight="1">
      <x:c r="A177" s="95" t="str">
        <x:v>RETURN-GEN_STORES_D2_01143-1234</x:v>
      </x:c>
      <x:c r="B177" s="95" t="str">
        <x:v>GEN_STORES_D2_01143</x:v>
      </x:c>
      <x:c r="C177" s="95" t="str">
        <x:v>D2</x:v>
      </x:c>
      <x:c r="D177" s="95" t="str">
        <x:v>SDEC</x:v>
      </x:c>
      <x:c r="E177" s="95" t="str">
        <x:v>L00</x:v>
      </x:c>
      <x:c r="F177" s="95" t="str">
        <x:v>Collection</x:v>
      </x:c>
      <x:c r="G177" s="95" t="str">
        <x:v>return</x:v>
      </x:c>
      <x:c r="H177" s="98" t="n">
        <x:v>46027.56570601852</x:v>
      </x:c>
      <x:c r="I177" s="98" t="n">
        <x:v>46027.63868055555</x:v>
      </x:c>
      <x:c r="J177" s="95" t="str">
        <x:v>Mon</x:v>
      </x:c>
      <x:c r="K177" s="95" t="n">
        <x:v>1</x:v>
      </x:c>
      <x:c r="L177" s="95" t="str">
        <x:v>Completed</x:v>
      </x:c>
      <x:c r="M177" s="95" t="str">
        <x:v>Goods Cage</x:v>
      </x:c>
      <x:c r="N177" s="95" t="str">
        <x:v>D3-DROP-ZONE</x:v>
      </x:c>
      <x:c r="O177" s="95" t="str">
        <x:v>D49-STORES</x:v>
      </x:c>
      <x:c r="P177" s="95" t="str">
        <x:v>D49-STORES</x:v>
      </x:c>
      <x:c r="Q177" s="95" t="str">
        <x:v>AMR pickup completed</x:v>
      </x:c>
      <x:c r="R177" s="98" t="n">
        <x:v>46027.63868055555</x:v>
      </x:c>
      <x:c r="S177" s="95" t="str">
        <x:v>Generated delayed return for GEN_STORES_D2_01143</x:v>
      </x:c>
    </x:row>
    <x:row r="178" ht="42" customHeight="1">
      <x:c r="A178" s="95" t="str">
        <x:v>RETURN-GEN_STORES_D2_01163-1237</x:v>
      </x:c>
      <x:c r="B178" s="95" t="str">
        <x:v>GEN_STORES_D2_01163</x:v>
      </x:c>
      <x:c r="C178" s="95" t="str">
        <x:v>D2</x:v>
      </x:c>
      <x:c r="D178" s="95" t="str">
        <x:v>SDEC</x:v>
      </x:c>
      <x:c r="E178" s="95" t="str">
        <x:v>L00</x:v>
      </x:c>
      <x:c r="F178" s="95" t="str">
        <x:v>Collection</x:v>
      </x:c>
      <x:c r="G178" s="95" t="str">
        <x:v>return</x:v>
      </x:c>
      <x:c r="H178" s="98" t="n">
        <x:v>46027.67623842593</x:v>
      </x:c>
      <x:c r="I178" s="98" t="n">
        <x:v>46027.67821759259</x:v>
      </x:c>
      <x:c r="J178" s="95" t="str">
        <x:v>Mon</x:v>
      </x:c>
      <x:c r="K178" s="95" t="n">
        <x:v>1</x:v>
      </x:c>
      <x:c r="L178" s="95" t="str">
        <x:v>Completed</x:v>
      </x:c>
      <x:c r="M178" s="95" t="str">
        <x:v>Goods Cage</x:v>
      </x:c>
      <x:c r="N178" s="95" t="str">
        <x:v>D3-DROP-ZONE</x:v>
      </x:c>
      <x:c r="O178" s="95" t="str">
        <x:v>D49-STORES</x:v>
      </x:c>
      <x:c r="P178" s="95" t="str">
        <x:v>D49-STORES</x:v>
      </x:c>
      <x:c r="Q178" s="95" t="str">
        <x:v>AMR pickup completed</x:v>
      </x:c>
      <x:c r="R178" s="98" t="n">
        <x:v>46027.67821759259</x:v>
      </x:c>
      <x:c r="S178" s="95" t="str">
        <x:v>Generated delayed return for GEN_STORES_D2_01163</x:v>
      </x:c>
    </x:row>
    <x:row r="179" ht="42" customHeight="1">
      <x:c r="A179" s="95" t="str">
        <x:v>RETURN-GEN_STORES_D2_01165-1247</x:v>
      </x:c>
      <x:c r="B179" s="95" t="str">
        <x:v>GEN_STORES_D2_01165</x:v>
      </x:c>
      <x:c r="C179" s="95" t="str">
        <x:v>D2</x:v>
      </x:c>
      <x:c r="D179" s="95" t="str">
        <x:v>SDEC</x:v>
      </x:c>
      <x:c r="E179" s="95" t="str">
        <x:v>L00</x:v>
      </x:c>
      <x:c r="F179" s="95" t="str">
        <x:v>Collection</x:v>
      </x:c>
      <x:c r="G179" s="95" t="str">
        <x:v>return</x:v>
      </x:c>
      <x:c r="H179" s="98" t="n">
        <x:v>46027.67863425926</x:v>
      </x:c>
      <x:c r="I179" s="98" t="n">
        <x:v>46027.68068287037</x:v>
      </x:c>
      <x:c r="J179" s="95" t="str">
        <x:v>Mon</x:v>
      </x:c>
      <x:c r="K179" s="95" t="n">
        <x:v>1</x:v>
      </x:c>
      <x:c r="L179" s="95" t="str">
        <x:v>Completed</x:v>
      </x:c>
      <x:c r="M179" s="95" t="str">
        <x:v>Goods Cage</x:v>
      </x:c>
      <x:c r="N179" s="95" t="str">
        <x:v>D3-DROP-ZONE</x:v>
      </x:c>
      <x:c r="O179" s="95" t="str">
        <x:v>D49-STORES</x:v>
      </x:c>
      <x:c r="P179" s="95" t="str">
        <x:v>D49-STORES</x:v>
      </x:c>
      <x:c r="Q179" s="95" t="str">
        <x:v>AMR pickup completed</x:v>
      </x:c>
      <x:c r="R179" s="98" t="n">
        <x:v>46027.68068287037</x:v>
      </x:c>
      <x:c r="S179" s="95" t="str">
        <x:v>Generated delayed return for GEN_STORES_D2_01165</x:v>
      </x:c>
    </x:row>
    <x:row r="180" ht="42" customHeight="1">
      <x:c r="A180" s="95" t="str">
        <x:v>RETURN-GEN_STORES_D30_01849-1739</x:v>
      </x:c>
      <x:c r="B180" s="95" t="str">
        <x:v>GEN_STORES_D30_01849</x:v>
      </x:c>
      <x:c r="C180" s="95" t="str">
        <x:v>D30</x:v>
      </x:c>
      <x:c r="D180" s="95" t="str">
        <x:v>Maternity Inpatients</x:v>
      </x:c>
      <x:c r="E180" s="95" t="str">
        <x:v>L03</x:v>
      </x:c>
      <x:c r="F180" s="95" t="str">
        <x:v>Collection</x:v>
      </x:c>
      <x:c r="G180" s="95" t="str">
        <x:v>return</x:v>
      </x:c>
      <x:c r="H180" s="98" t="n">
        <x:v>46029.51039351852</x:v>
      </x:c>
      <x:c r="I180" s="98" t="n">
        <x:v>46029.51216435185</x:v>
      </x:c>
      <x:c r="J180" s="95" t="str">
        <x:v>Wed</x:v>
      </x:c>
      <x:c r="K180" s="95" t="n">
        <x:v>1</x:v>
      </x:c>
      <x:c r="L180" s="95" t="str">
        <x:v>Completed</x:v>
      </x:c>
      <x:c r="M180" s="95" t="str">
        <x:v>Goods Cage</x:v>
      </x:c>
      <x:c r="N180" s="95" t="str">
        <x:v>D29-DROP-ZONE</x:v>
      </x:c>
      <x:c r="O180" s="95" t="str">
        <x:v>D49-STORES</x:v>
      </x:c>
      <x:c r="P180" s="95" t="str">
        <x:v>D49-STORES</x:v>
      </x:c>
      <x:c r="Q180" s="95" t="str">
        <x:v>AMR pickup completed</x:v>
      </x:c>
      <x:c r="R180" s="98" t="n">
        <x:v>46029.51216435185</x:v>
      </x:c>
      <x:c r="S180" s="95" t="str">
        <x:v>Generated delayed return for GEN_STORES_D30_01849</x:v>
      </x:c>
    </x:row>
    <x:row r="181" ht="42" customHeight="1">
      <x:c r="A181" s="95" t="str">
        <x:v>RETURN-GEN_STORES_D30_01871-1754</x:v>
      </x:c>
      <x:c r="B181" s="95" t="str">
        <x:v>GEN_STORES_D30_01871</x:v>
      </x:c>
      <x:c r="C181" s="95" t="str">
        <x:v>D30</x:v>
      </x:c>
      <x:c r="D181" s="95" t="str">
        <x:v>Maternity Inpatients</x:v>
      </x:c>
      <x:c r="E181" s="95" t="str">
        <x:v>L03</x:v>
      </x:c>
      <x:c r="F181" s="95" t="str">
        <x:v>Collection</x:v>
      </x:c>
      <x:c r="G181" s="95" t="str">
        <x:v>return</x:v>
      </x:c>
      <x:c r="H181" s="98" t="n">
        <x:v>46029.53487268519</x:v>
      </x:c>
      <x:c r="I181" s="98" t="n">
        <x:v>46029.535104166665</x:v>
      </x:c>
      <x:c r="J181" s="95" t="str">
        <x:v>Wed</x:v>
      </x:c>
      <x:c r="K181" s="95" t="n">
        <x:v>1</x:v>
      </x:c>
      <x:c r="L181" s="95" t="str">
        <x:v>Completed</x:v>
      </x:c>
      <x:c r="M181" s="95" t="str">
        <x:v>Goods Cage</x:v>
      </x:c>
      <x:c r="N181" s="95" t="str">
        <x:v>D29-DROP-ZONE</x:v>
      </x:c>
      <x:c r="O181" s="95" t="str">
        <x:v>D49-STORES</x:v>
      </x:c>
      <x:c r="P181" s="95" t="str">
        <x:v>D49-STORES</x:v>
      </x:c>
      <x:c r="Q181" s="95" t="str">
        <x:v>AMR pickup completed</x:v>
      </x:c>
      <x:c r="R181" s="98" t="n">
        <x:v>46029.535104166665</x:v>
      </x:c>
      <x:c r="S181" s="95" t="str">
        <x:v>Generated delayed return for GEN_STORES_D30_01871</x:v>
      </x:c>
    </x:row>
    <x:row r="182" ht="42" customHeight="1">
      <x:c r="A182" s="95" t="str">
        <x:v>RETURN-GEN_STORES_D30_01872-1773</x:v>
      </x:c>
      <x:c r="B182" s="95" t="str">
        <x:v>GEN_STORES_D30_01872</x:v>
      </x:c>
      <x:c r="C182" s="95" t="str">
        <x:v>D30</x:v>
      </x:c>
      <x:c r="D182" s="95" t="str">
        <x:v>Maternity Inpatients</x:v>
      </x:c>
      <x:c r="E182" s="95" t="str">
        <x:v>L03</x:v>
      </x:c>
      <x:c r="F182" s="95" t="str">
        <x:v>Collection</x:v>
      </x:c>
      <x:c r="G182" s="95" t="str">
        <x:v>return</x:v>
      </x:c>
      <x:c r="H182" s="98" t="n">
        <x:v>46029.555983796294</x:v>
      </x:c>
      <x:c r="I182" s="98" t="n">
        <x:v>46029.55621527778</x:v>
      </x:c>
      <x:c r="J182" s="95" t="str">
        <x:v>Wed</x:v>
      </x:c>
      <x:c r="K182" s="95" t="n">
        <x:v>1</x:v>
      </x:c>
      <x:c r="L182" s="95" t="str">
        <x:v>Completed</x:v>
      </x:c>
      <x:c r="M182" s="95" t="str">
        <x:v>Goods Cage</x:v>
      </x:c>
      <x:c r="N182" s="95" t="str">
        <x:v>D29-DROP-ZONE</x:v>
      </x:c>
      <x:c r="O182" s="95" t="str">
        <x:v>D49-STORES</x:v>
      </x:c>
      <x:c r="P182" s="95" t="str">
        <x:v>D49-STORES</x:v>
      </x:c>
      <x:c r="Q182" s="95" t="str">
        <x:v>AMR pickup completed</x:v>
      </x:c>
      <x:c r="R182" s="98" t="n">
        <x:v>46029.55621527778</x:v>
      </x:c>
      <x:c r="S182" s="95" t="str">
        <x:v>Generated delayed return for GEN_STORES_D30_01872</x:v>
      </x:c>
    </x:row>
    <x:row r="183" ht="42" customHeight="1">
      <x:c r="A183" s="95" t="str">
        <x:v>RETURN-GEN_STORES_D31_00165-158</x:v>
      </x:c>
      <x:c r="B183" s="95" t="str">
        <x:v>GEN_STORES_D31_00165</x:v>
      </x:c>
      <x:c r="C183" s="95" t="str">
        <x:v>D31</x:v>
      </x:c>
      <x:c r="D183" s="95" t="str">
        <x:v>Adult Inpatients 1</x:v>
      </x:c>
      <x:c r="E183" s="95" t="str">
        <x:v>L03</x:v>
      </x:c>
      <x:c r="F183" s="95" t="str">
        <x:v>Collection</x:v>
      </x:c>
      <x:c r="G183" s="95" t="str">
        <x:v>return</x:v>
      </x:c>
      <x:c r="H183" s="98" t="n">
        <x:v>46023.607615740744</x:v>
      </x:c>
      <x:c r="I183" s="98" t="n">
        <x:v>46023.609618055554</x:v>
      </x:c>
      <x:c r="J183" s="95" t="str">
        <x:v>Thu</x:v>
      </x:c>
      <x:c r="K183" s="95" t="n">
        <x:v>1</x:v>
      </x:c>
      <x:c r="L183" s="95" t="str">
        <x:v>Completed</x:v>
      </x:c>
      <x:c r="M183" s="95" t="str">
        <x:v>Goods Cage</x:v>
      </x:c>
      <x:c r="N183" s="95" t="str">
        <x:v>D32-DROP-ZONE</x:v>
      </x:c>
      <x:c r="O183" s="95" t="str">
        <x:v>D49-STORES</x:v>
      </x:c>
      <x:c r="P183" s="95" t="str">
        <x:v>D49-STORES</x:v>
      </x:c>
      <x:c r="Q183" s="95" t="str">
        <x:v>AMR pickup completed</x:v>
      </x:c>
      <x:c r="R183" s="98" t="n">
        <x:v>46023.609618055554</x:v>
      </x:c>
      <x:c r="S183" s="95" t="str">
        <x:v>Generated delayed return for GEN_STORES_D31_00165</x:v>
      </x:c>
    </x:row>
    <x:row r="184" ht="42" customHeight="1">
      <x:c r="A184" s="95" t="str">
        <x:v>RETURN-GEN_STORES_D31_00168-182</x:v>
      </x:c>
      <x:c r="B184" s="95" t="str">
        <x:v>GEN_STORES_D31_00168</x:v>
      </x:c>
      <x:c r="C184" s="95" t="str">
        <x:v>D31</x:v>
      </x:c>
      <x:c r="D184" s="95" t="str">
        <x:v>Adult Inpatients 1</x:v>
      </x:c>
      <x:c r="E184" s="95" t="str">
        <x:v>L03</x:v>
      </x:c>
      <x:c r="F184" s="95" t="str">
        <x:v>Collection</x:v>
      </x:c>
      <x:c r="G184" s="95" t="str">
        <x:v>return</x:v>
      </x:c>
      <x:c r="H184" s="98" t="n">
        <x:v>46023.64931712963</x:v>
      </x:c>
      <x:c r="I184" s="98" t="n">
        <x:v>46023.65125</x:v>
      </x:c>
      <x:c r="J184" s="95" t="str">
        <x:v>Thu</x:v>
      </x:c>
      <x:c r="K184" s="95" t="n">
        <x:v>1</x:v>
      </x:c>
      <x:c r="L184" s="95" t="str">
        <x:v>Completed</x:v>
      </x:c>
      <x:c r="M184" s="95" t="str">
        <x:v>Goods Cage</x:v>
      </x:c>
      <x:c r="N184" s="95" t="str">
        <x:v>D32-DROP-ZONE</x:v>
      </x:c>
      <x:c r="O184" s="95" t="str">
        <x:v>D49-STORES</x:v>
      </x:c>
      <x:c r="P184" s="95" t="str">
        <x:v>D49-STORES</x:v>
      </x:c>
      <x:c r="Q184" s="95" t="str">
        <x:v>AMR pickup completed</x:v>
      </x:c>
      <x:c r="R184" s="98" t="n">
        <x:v>46023.65125</x:v>
      </x:c>
      <x:c r="S184" s="95" t="str">
        <x:v>Generated delayed return for GEN_STORES_D31_00168</x:v>
      </x:c>
    </x:row>
    <x:row r="185" ht="42" customHeight="1">
      <x:c r="A185" s="95" t="str">
        <x:v>RETURN-GEN_STORES_D31_00178-203</x:v>
      </x:c>
      <x:c r="B185" s="95" t="str">
        <x:v>GEN_STORES_D31_00178</x:v>
      </x:c>
      <x:c r="C185" s="95" t="str">
        <x:v>D31</x:v>
      </x:c>
      <x:c r="D185" s="95" t="str">
        <x:v>Adult Inpatients 1</x:v>
      </x:c>
      <x:c r="E185" s="95" t="str">
        <x:v>L03</x:v>
      </x:c>
      <x:c r="F185" s="95" t="str">
        <x:v>Collection</x:v>
      </x:c>
      <x:c r="G185" s="95" t="str">
        <x:v>return</x:v>
      </x:c>
      <x:c r="H185" s="98" t="n">
        <x:v>46023.680497685185</x:v>
      </x:c>
      <x:c r="I185" s="98" t="n">
        <x:v>46023.682442129626</x:v>
      </x:c>
      <x:c r="J185" s="95" t="str">
        <x:v>Thu</x:v>
      </x:c>
      <x:c r="K185" s="95" t="n">
        <x:v>1</x:v>
      </x:c>
      <x:c r="L185" s="95" t="str">
        <x:v>Completed</x:v>
      </x:c>
      <x:c r="M185" s="95" t="str">
        <x:v>Goods Cage</x:v>
      </x:c>
      <x:c r="N185" s="95" t="str">
        <x:v>D32-DROP-ZONE</x:v>
      </x:c>
      <x:c r="O185" s="95" t="str">
        <x:v>D49-STORES</x:v>
      </x:c>
      <x:c r="P185" s="95" t="str">
        <x:v>D49-STORES</x:v>
      </x:c>
      <x:c r="Q185" s="95" t="str">
        <x:v>AMR pickup completed</x:v>
      </x:c>
      <x:c r="R185" s="98" t="n">
        <x:v>46023.682442129626</x:v>
      </x:c>
      <x:c r="S185" s="95" t="str">
        <x:v>Generated delayed return for GEN_STORES_D31_00178</x:v>
      </x:c>
    </x:row>
    <x:row r="186" ht="42" customHeight="1">
      <x:c r="A186" s="95" t="str">
        <x:v>RETURN-GEN_STORES_D32_00413-505</x:v>
      </x:c>
      <x:c r="B186" s="95" t="str">
        <x:v>GEN_STORES_D32_00413</x:v>
      </x:c>
      <x:c r="C186" s="95" t="str">
        <x:v>D32</x:v>
      </x:c>
      <x:c r="D186" s="95" t="str">
        <x:v>Adult Inpatients 2</x:v>
      </x:c>
      <x:c r="E186" s="95" t="str">
        <x:v>L03</x:v>
      </x:c>
      <x:c r="F186" s="95" t="str">
        <x:v>Collection</x:v>
      </x:c>
      <x:c r="G186" s="95" t="str">
        <x:v>return</x:v>
      </x:c>
      <x:c r="H186" s="98" t="n">
        <x:v>46024.48268518518</x:v>
      </x:c>
      <x:c r="I186" s="98" t="n">
        <x:v>46024.48474537037</x:v>
      </x:c>
      <x:c r="J186" s="95" t="str">
        <x:v>Fri</x:v>
      </x:c>
      <x:c r="K186" s="95" t="n">
        <x:v>1</x:v>
      </x:c>
      <x:c r="L186" s="95" t="str">
        <x:v>Completed</x:v>
      </x:c>
      <x:c r="M186" s="95" t="str">
        <x:v>Goods Cage</x:v>
      </x:c>
      <x:c r="N186" s="95" t="str">
        <x:v>D32-DROP-ZONE</x:v>
      </x:c>
      <x:c r="O186" s="95" t="str">
        <x:v>D49-STORES</x:v>
      </x:c>
      <x:c r="P186" s="95" t="str">
        <x:v>D49-STORES</x:v>
      </x:c>
      <x:c r="Q186" s="95" t="str">
        <x:v>AMR pickup completed</x:v>
      </x:c>
      <x:c r="R186" s="98" t="n">
        <x:v>46024.48474537037</x:v>
      </x:c>
      <x:c r="S186" s="95" t="str">
        <x:v>Generated delayed return for GEN_STORES_D32_00413</x:v>
      </x:c>
    </x:row>
    <x:row r="187" ht="42" customHeight="1">
      <x:c r="A187" s="95" t="str">
        <x:v>RETURN-GEN_STORES_D32_00435-509</x:v>
      </x:c>
      <x:c r="B187" s="95" t="str">
        <x:v>GEN_STORES_D32_00435</x:v>
      </x:c>
      <x:c r="C187" s="95" t="str">
        <x:v>D32</x:v>
      </x:c>
      <x:c r="D187" s="95" t="str">
        <x:v>Adult Inpatients 2</x:v>
      </x:c>
      <x:c r="E187" s="95" t="str">
        <x:v>L03</x:v>
      </x:c>
      <x:c r="F187" s="95" t="str">
        <x:v>Collection</x:v>
      </x:c>
      <x:c r="G187" s="95" t="str">
        <x:v>return</x:v>
      </x:c>
      <x:c r="H187" s="98" t="n">
        <x:v>46024.50413194444</x:v>
      </x:c>
      <x:c r="I187" s="98" t="n">
        <x:v>46024.51945601852</x:v>
      </x:c>
      <x:c r="J187" s="95" t="str">
        <x:v>Fri</x:v>
      </x:c>
      <x:c r="K187" s="95" t="n">
        <x:v>1</x:v>
      </x:c>
      <x:c r="L187" s="95" t="str">
        <x:v>Completed</x:v>
      </x:c>
      <x:c r="M187" s="95" t="str">
        <x:v>Goods Cage</x:v>
      </x:c>
      <x:c r="N187" s="95" t="str">
        <x:v>D32-DROP-ZONE</x:v>
      </x:c>
      <x:c r="O187" s="95" t="str">
        <x:v>D49-STORES</x:v>
      </x:c>
      <x:c r="P187" s="95" t="str">
        <x:v>D49-STORES</x:v>
      </x:c>
      <x:c r="Q187" s="95" t="str">
        <x:v>AMR pickup completed</x:v>
      </x:c>
      <x:c r="R187" s="98" t="n">
        <x:v>46024.51945601852</x:v>
      </x:c>
      <x:c r="S187" s="95" t="str">
        <x:v>Generated delayed return for GEN_STORES_D32_00435</x:v>
      </x:c>
    </x:row>
    <x:row r="188" ht="42" customHeight="1">
      <x:c r="A188" s="95" t="str">
        <x:v>RETURN-GEN_STORES_D32_00437-529</x:v>
      </x:c>
      <x:c r="B188" s="95" t="str">
        <x:v>GEN_STORES_D32_00437</x:v>
      </x:c>
      <x:c r="C188" s="95" t="str">
        <x:v>D32</x:v>
      </x:c>
      <x:c r="D188" s="95" t="str">
        <x:v>Adult Inpatients 2</x:v>
      </x:c>
      <x:c r="E188" s="95" t="str">
        <x:v>L03</x:v>
      </x:c>
      <x:c r="F188" s="95" t="str">
        <x:v>Collection</x:v>
      </x:c>
      <x:c r="G188" s="95" t="str">
        <x:v>return</x:v>
      </x:c>
      <x:c r="H188" s="98" t="n">
        <x:v>46024.516805555555</x:v>
      </x:c>
      <x:c r="I188" s="98" t="n">
        <x:v>46024.51792824074</x:v>
      </x:c>
      <x:c r="J188" s="95" t="str">
        <x:v>Fri</x:v>
      </x:c>
      <x:c r="K188" s="95" t="n">
        <x:v>1</x:v>
      </x:c>
      <x:c r="L188" s="95" t="str">
        <x:v>Completed</x:v>
      </x:c>
      <x:c r="M188" s="95" t="str">
        <x:v>Goods Cage</x:v>
      </x:c>
      <x:c r="N188" s="95" t="str">
        <x:v>D32-DROP-ZONE</x:v>
      </x:c>
      <x:c r="O188" s="95" t="str">
        <x:v>D49-STORES</x:v>
      </x:c>
      <x:c r="P188" s="95" t="str">
        <x:v>D49-STORES</x:v>
      </x:c>
      <x:c r="Q188" s="95" t="str">
        <x:v>AMR pickup completed</x:v>
      </x:c>
      <x:c r="R188" s="98" t="n">
        <x:v>46024.51792824074</x:v>
      </x:c>
      <x:c r="S188" s="95" t="str">
        <x:v>Generated delayed return for GEN_STORES_D32_00437</x:v>
      </x:c>
    </x:row>
    <x:row r="189" ht="42" customHeight="1">
      <x:c r="A189" s="95" t="str">
        <x:v>RETURN-GEN_STORES_D33_00456-554</x:v>
      </x:c>
      <x:c r="B189" s="95" t="str">
        <x:v>GEN_STORES_D33_00456</x:v>
      </x:c>
      <x:c r="C189" s="95" t="str">
        <x:v>D33</x:v>
      </x:c>
      <x:c r="D189" s="95" t="str">
        <x:v>Adult Inpatients 3</x:v>
      </x:c>
      <x:c r="E189" s="95" t="str">
        <x:v>L03</x:v>
      </x:c>
      <x:c r="F189" s="95" t="str">
        <x:v>Collection</x:v>
      </x:c>
      <x:c r="G189" s="95" t="str">
        <x:v>return</x:v>
      </x:c>
      <x:c r="H189" s="98" t="n">
        <x:v>46024.53493055556</x:v>
      </x:c>
      <x:c r="I189" s="98" t="n">
        <x:v>46024.53618055556</x:v>
      </x:c>
      <x:c r="J189" s="95" t="str">
        <x:v>Fri</x:v>
      </x:c>
      <x:c r="K189" s="95" t="n">
        <x:v>1</x:v>
      </x:c>
      <x:c r="L189" s="95" t="str">
        <x:v>Completed</x:v>
      </x:c>
      <x:c r="M189" s="95" t="str">
        <x:v>Goods Cage</x:v>
      </x:c>
      <x:c r="N189" s="95" t="str">
        <x:v>D33-DROP-ZONE</x:v>
      </x:c>
      <x:c r="O189" s="95" t="str">
        <x:v>D49-STORES</x:v>
      </x:c>
      <x:c r="P189" s="95" t="str">
        <x:v>D49-STORES</x:v>
      </x:c>
      <x:c r="Q189" s="95" t="str">
        <x:v>AMR pickup completed</x:v>
      </x:c>
      <x:c r="R189" s="98" t="n">
        <x:v>46024.53618055556</x:v>
      </x:c>
      <x:c r="S189" s="95" t="str">
        <x:v>Generated delayed return for GEN_STORES_D33_00456</x:v>
      </x:c>
    </x:row>
    <x:row r="190" ht="42" customHeight="1">
      <x:c r="A190" s="95" t="str">
        <x:v>RETURN-GEN_STORES_D33_00458-588</x:v>
      </x:c>
      <x:c r="B190" s="95" t="str">
        <x:v>GEN_STORES_D33_00458</x:v>
      </x:c>
      <x:c r="C190" s="95" t="str">
        <x:v>D33</x:v>
      </x:c>
      <x:c r="D190" s="95" t="str">
        <x:v>Adult Inpatients 3</x:v>
      </x:c>
      <x:c r="E190" s="95" t="str">
        <x:v>L03</x:v>
      </x:c>
      <x:c r="F190" s="95" t="str">
        <x:v>Collection</x:v>
      </x:c>
      <x:c r="G190" s="95" t="str">
        <x:v>return</x:v>
      </x:c>
      <x:c r="H190" s="98" t="n">
        <x:v>46024.55587962963</x:v>
      </x:c>
      <x:c r="I190" s="98" t="n">
        <x:v>46024.55978009259</x:v>
      </x:c>
      <x:c r="J190" s="95" t="str">
        <x:v>Fri</x:v>
      </x:c>
      <x:c r="K190" s="95" t="n">
        <x:v>1</x:v>
      </x:c>
      <x:c r="L190" s="95" t="str">
        <x:v>Completed</x:v>
      </x:c>
      <x:c r="M190" s="95" t="str">
        <x:v>Goods Cage</x:v>
      </x:c>
      <x:c r="N190" s="95" t="str">
        <x:v>D33-DROP-ZONE</x:v>
      </x:c>
      <x:c r="O190" s="95" t="str">
        <x:v>D49-STORES</x:v>
      </x:c>
      <x:c r="P190" s="95" t="str">
        <x:v>D49-STORES</x:v>
      </x:c>
      <x:c r="Q190" s="95" t="str">
        <x:v>AMR pickup completed</x:v>
      </x:c>
      <x:c r="R190" s="98" t="n">
        <x:v>46024.55978009259</x:v>
      </x:c>
      <x:c r="S190" s="95" t="str">
        <x:v>Generated delayed return for GEN_STORES_D33_00458</x:v>
      </x:c>
    </x:row>
    <x:row r="191" ht="42" customHeight="1">
      <x:c r="A191" s="95" t="str">
        <x:v>RETURN-GEN_STORES_D33_00477-599</x:v>
      </x:c>
      <x:c r="B191" s="95" t="str">
        <x:v>GEN_STORES_D33_00477</x:v>
      </x:c>
      <x:c r="C191" s="95" t="str">
        <x:v>D33</x:v>
      </x:c>
      <x:c r="D191" s="95" t="str">
        <x:v>Adult Inpatients 3</x:v>
      </x:c>
      <x:c r="E191" s="95" t="str">
        <x:v>L03</x:v>
      </x:c>
      <x:c r="F191" s="95" t="str">
        <x:v>Collection</x:v>
      </x:c>
      <x:c r="G191" s="95" t="str">
        <x:v>return</x:v>
      </x:c>
      <x:c r="H191" s="98" t="n">
        <x:v>46024.57855324074</x:v>
      </x:c>
      <x:c r="I191" s="98" t="n">
        <x:v>46024.5809375</x:v>
      </x:c>
      <x:c r="J191" s="95" t="str">
        <x:v>Fri</x:v>
      </x:c>
      <x:c r="K191" s="95" t="n">
        <x:v>1</x:v>
      </x:c>
      <x:c r="L191" s="95" t="str">
        <x:v>Completed</x:v>
      </x:c>
      <x:c r="M191" s="95" t="str">
        <x:v>Goods Cage</x:v>
      </x:c>
      <x:c r="N191" s="95" t="str">
        <x:v>D33-DROP-ZONE</x:v>
      </x:c>
      <x:c r="O191" s="95" t="str">
        <x:v>D49-STORES</x:v>
      </x:c>
      <x:c r="P191" s="95" t="str">
        <x:v>D49-STORES</x:v>
      </x:c>
      <x:c r="Q191" s="95" t="str">
        <x:v>AMR pickup completed</x:v>
      </x:c>
      <x:c r="R191" s="98" t="n">
        <x:v>46024.5809375</x:v>
      </x:c>
      <x:c r="S191" s="95" t="str">
        <x:v>Generated delayed return for GEN_STORES_D33_00477</x:v>
      </x:c>
    </x:row>
    <x:row r="192" ht="42" customHeight="1">
      <x:c r="A192" s="95" t="str">
        <x:v>RETURN-GEN_STORES_D34_00478-629</x:v>
      </x:c>
      <x:c r="B192" s="95" t="str">
        <x:v>GEN_STORES_D34_00478</x:v>
      </x:c>
      <x:c r="C192" s="95" t="str">
        <x:v>D34</x:v>
      </x:c>
      <x:c r="D192" s="95" t="str">
        <x:v>Adult Inpatients 4</x:v>
      </x:c>
      <x:c r="E192" s="95" t="str">
        <x:v>L03</x:v>
      </x:c>
      <x:c r="F192" s="95" t="str">
        <x:v>Collection</x:v>
      </x:c>
      <x:c r="G192" s="95" t="str">
        <x:v>return</x:v>
      </x:c>
      <x:c r="H192" s="98" t="n">
        <x:v>46024.59756944444</x:v>
      </x:c>
      <x:c r="I192" s="98" t="n">
        <x:v>46024.60140046296</x:v>
      </x:c>
      <x:c r="J192" s="95" t="str">
        <x:v>Fri</x:v>
      </x:c>
      <x:c r="K192" s="95" t="n">
        <x:v>1</x:v>
      </x:c>
      <x:c r="L192" s="95" t="str">
        <x:v>Completed</x:v>
      </x:c>
      <x:c r="M192" s="95" t="str">
        <x:v>Goods Cage</x:v>
      </x:c>
      <x:c r="N192" s="95" t="str">
        <x:v>D33-DROP-ZONE</x:v>
      </x:c>
      <x:c r="O192" s="95" t="str">
        <x:v>D49-STORES</x:v>
      </x:c>
      <x:c r="P192" s="95" t="str">
        <x:v>D49-STORES</x:v>
      </x:c>
      <x:c r="Q192" s="95" t="str">
        <x:v>AMR pickup completed</x:v>
      </x:c>
      <x:c r="R192" s="98" t="n">
        <x:v>46024.60140046296</x:v>
      </x:c>
      <x:c r="S192" s="95" t="str">
        <x:v>Generated delayed return for GEN_STORES_D34_00478</x:v>
      </x:c>
    </x:row>
    <x:row r="193" ht="42" customHeight="1">
      <x:c r="A193" s="95" t="str">
        <x:v>RETURN-GEN_STORES_D34_00480-643</x:v>
      </x:c>
      <x:c r="B193" s="95" t="str">
        <x:v>GEN_STORES_D34_00480</x:v>
      </x:c>
      <x:c r="C193" s="95" t="str">
        <x:v>D34</x:v>
      </x:c>
      <x:c r="D193" s="95" t="str">
        <x:v>Adult Inpatients 4</x:v>
      </x:c>
      <x:c r="E193" s="95" t="str">
        <x:v>L03</x:v>
      </x:c>
      <x:c r="F193" s="95" t="str">
        <x:v>Collection</x:v>
      </x:c>
      <x:c r="G193" s="95" t="str">
        <x:v>return</x:v>
      </x:c>
      <x:c r="H193" s="98" t="n">
        <x:v>46024.61846064815</x:v>
      </x:c>
      <x:c r="I193" s="98" t="n">
        <x:v>46024.62087962963</x:v>
      </x:c>
      <x:c r="J193" s="95" t="str">
        <x:v>Fri</x:v>
      </x:c>
      <x:c r="K193" s="95" t="n">
        <x:v>1</x:v>
      </x:c>
      <x:c r="L193" s="95" t="str">
        <x:v>Completed</x:v>
      </x:c>
      <x:c r="M193" s="95" t="str">
        <x:v>Goods Cage</x:v>
      </x:c>
      <x:c r="N193" s="95" t="str">
        <x:v>D33-DROP-ZONE</x:v>
      </x:c>
      <x:c r="O193" s="95" t="str">
        <x:v>D49-STORES</x:v>
      </x:c>
      <x:c r="P193" s="95" t="str">
        <x:v>D49-STORES</x:v>
      </x:c>
      <x:c r="Q193" s="95" t="str">
        <x:v>AMR pickup completed</x:v>
      </x:c>
      <x:c r="R193" s="98" t="n">
        <x:v>46024.62087962963</x:v>
      </x:c>
      <x:c r="S193" s="95" t="str">
        <x:v>Generated delayed return for GEN_STORES_D34_00480</x:v>
      </x:c>
    </x:row>
    <x:row r="194" ht="42" customHeight="1">
      <x:c r="A194" s="95" t="str">
        <x:v>RETURN-GEN_STORES_D34_00482-652</x:v>
      </x:c>
      <x:c r="B194" s="95" t="str">
        <x:v>GEN_STORES_D34_00482</x:v>
      </x:c>
      <x:c r="C194" s="95" t="str">
        <x:v>D34</x:v>
      </x:c>
      <x:c r="D194" s="95" t="str">
        <x:v>Adult Inpatients 4</x:v>
      </x:c>
      <x:c r="E194" s="95" t="str">
        <x:v>L03</x:v>
      </x:c>
      <x:c r="F194" s="95" t="str">
        <x:v>Collection</x:v>
      </x:c>
      <x:c r="G194" s="95" t="str">
        <x:v>return</x:v>
      </x:c>
      <x:c r="H194" s="98" t="n">
        <x:v>46024.63912037037</x:v>
      </x:c>
      <x:c r="I194" s="98" t="n">
        <x:v>46024.64231481482</x:v>
      </x:c>
      <x:c r="J194" s="95" t="str">
        <x:v>Fri</x:v>
      </x:c>
      <x:c r="K194" s="95" t="n">
        <x:v>1</x:v>
      </x:c>
      <x:c r="L194" s="95" t="str">
        <x:v>Completed</x:v>
      </x:c>
      <x:c r="M194" s="95" t="str">
        <x:v>Goods Cage</x:v>
      </x:c>
      <x:c r="N194" s="95" t="str">
        <x:v>D33-DROP-ZONE</x:v>
      </x:c>
      <x:c r="O194" s="95" t="str">
        <x:v>D49-STORES</x:v>
      </x:c>
      <x:c r="P194" s="95" t="str">
        <x:v>D49-STORES</x:v>
      </x:c>
      <x:c r="Q194" s="95" t="str">
        <x:v>AMR pickup completed</x:v>
      </x:c>
      <x:c r="R194" s="98" t="n">
        <x:v>46024.64231481482</x:v>
      </x:c>
      <x:c r="S194" s="95" t="str">
        <x:v>Generated delayed return for GEN_STORES_D34_00482</x:v>
      </x:c>
    </x:row>
    <x:row r="195" ht="42" customHeight="1">
      <x:c r="A195" s="95" t="str">
        <x:v>RETURN-GEN_STORES_D35_01450-1443</x:v>
      </x:c>
      <x:c r="B195" s="95" t="str">
        <x:v>GEN_STORES_D35_01450</x:v>
      </x:c>
      <x:c r="C195" s="95" t="str">
        <x:v>D35</x:v>
      </x:c>
      <x:c r="D195" s="95" t="str">
        <x:v>Respiratory Inpatients</x:v>
      </x:c>
      <x:c r="E195" s="95" t="str">
        <x:v>L04</x:v>
      </x:c>
      <x:c r="F195" s="95" t="str">
        <x:v>Collection</x:v>
      </x:c>
      <x:c r="G195" s="95" t="str">
        <x:v>return</x:v>
      </x:c>
      <x:c r="H195" s="98" t="n">
        <x:v>46028.46413194444</x:v>
      </x:c>
      <x:c r="I195" s="98" t="n">
        <x:v>46028.46436342593</x:v>
      </x:c>
      <x:c r="J195" s="95" t="str">
        <x:v>Tue</x:v>
      </x:c>
      <x:c r="K195" s="95" t="n">
        <x:v>1</x:v>
      </x:c>
      <x:c r="L195" s="95" t="str">
        <x:v>Completed</x:v>
      </x:c>
      <x:c r="M195" s="95" t="str">
        <x:v>Goods Cage</x:v>
      </x:c>
      <x:c r="N195" s="95" t="str">
        <x:v>D35-DROP-ZONE</x:v>
      </x:c>
      <x:c r="O195" s="95" t="str">
        <x:v>D49-STORES</x:v>
      </x:c>
      <x:c r="P195" s="95" t="str">
        <x:v>D49-STORES</x:v>
      </x:c>
      <x:c r="Q195" s="95" t="str">
        <x:v>AMR pickup completed</x:v>
      </x:c>
      <x:c r="R195" s="98" t="n">
        <x:v>46028.46436342593</x:v>
      </x:c>
      <x:c r="S195" s="95" t="str">
        <x:v>Generated delayed return for GEN_STORES_D35_01450</x:v>
      </x:c>
    </x:row>
    <x:row r="196" ht="42" customHeight="1">
      <x:c r="A196" s="95" t="str">
        <x:v>RETURN-GEN_STORES_D35_01453-1446</x:v>
      </x:c>
      <x:c r="B196" s="95" t="str">
        <x:v>GEN_STORES_D35_01453</x:v>
      </x:c>
      <x:c r="C196" s="95" t="str">
        <x:v>D35</x:v>
      </x:c>
      <x:c r="D196" s="95" t="str">
        <x:v>Respiratory Inpatients</x:v>
      </x:c>
      <x:c r="E196" s="95" t="str">
        <x:v>L04</x:v>
      </x:c>
      <x:c r="F196" s="95" t="str">
        <x:v>Collection</x:v>
      </x:c>
      <x:c r="G196" s="95" t="str">
        <x:v>return</x:v>
      </x:c>
      <x:c r="H196" s="98" t="n">
        <x:v>46028.483148148145</x:v>
      </x:c>
      <x:c r="I196" s="98" t="n">
        <x:v>46028.48337962963</x:v>
      </x:c>
      <x:c r="J196" s="95" t="str">
        <x:v>Tue</x:v>
      </x:c>
      <x:c r="K196" s="95" t="n">
        <x:v>1</x:v>
      </x:c>
      <x:c r="L196" s="95" t="str">
        <x:v>Completed</x:v>
      </x:c>
      <x:c r="M196" s="95" t="str">
        <x:v>Goods Cage</x:v>
      </x:c>
      <x:c r="N196" s="95" t="str">
        <x:v>D35-DROP-ZONE</x:v>
      </x:c>
      <x:c r="O196" s="95" t="str">
        <x:v>D49-STORES</x:v>
      </x:c>
      <x:c r="P196" s="95" t="str">
        <x:v>D49-STORES</x:v>
      </x:c>
      <x:c r="Q196" s="95" t="str">
        <x:v>AMR pickup completed</x:v>
      </x:c>
      <x:c r="R196" s="98" t="n">
        <x:v>46028.48337962963</x:v>
      </x:c>
      <x:c r="S196" s="95" t="str">
        <x:v>Generated delayed return for GEN_STORES_D35_01453</x:v>
      </x:c>
    </x:row>
    <x:row r="197" ht="42" customHeight="1">
      <x:c r="A197" s="95" t="str">
        <x:v>RETURN-GEN_STORES_D35_01454-1447</x:v>
      </x:c>
      <x:c r="B197" s="95" t="str">
        <x:v>GEN_STORES_D35_01454</x:v>
      </x:c>
      <x:c r="C197" s="95" t="str">
        <x:v>D35</x:v>
      </x:c>
      <x:c r="D197" s="95" t="str">
        <x:v>Respiratory Inpatients</x:v>
      </x:c>
      <x:c r="E197" s="95" t="str">
        <x:v>L04</x:v>
      </x:c>
      <x:c r="F197" s="95" t="str">
        <x:v>Collection</x:v>
      </x:c>
      <x:c r="G197" s="95" t="str">
        <x:v>return</x:v>
      </x:c>
      <x:c r="H197" s="98" t="n">
        <x:v>46028.49363425926</x:v>
      </x:c>
      <x:c r="I197" s="98" t="n">
        <x:v>46028.49386574074</x:v>
      </x:c>
      <x:c r="J197" s="95" t="str">
        <x:v>Tue</x:v>
      </x:c>
      <x:c r="K197" s="95" t="n">
        <x:v>1</x:v>
      </x:c>
      <x:c r="L197" s="95" t="str">
        <x:v>Completed</x:v>
      </x:c>
      <x:c r="M197" s="95" t="str">
        <x:v>Goods Cage</x:v>
      </x:c>
      <x:c r="N197" s="95" t="str">
        <x:v>D35-DROP-ZONE</x:v>
      </x:c>
      <x:c r="O197" s="95" t="str">
        <x:v>D49-STORES</x:v>
      </x:c>
      <x:c r="P197" s="95" t="str">
        <x:v>D49-STORES</x:v>
      </x:c>
      <x:c r="Q197" s="95" t="str">
        <x:v>AMR pickup completed</x:v>
      </x:c>
      <x:c r="R197" s="98" t="n">
        <x:v>46028.49386574074</x:v>
      </x:c>
      <x:c r="S197" s="95" t="str">
        <x:v>Generated delayed return for GEN_STORES_D35_01454</x:v>
      </x:c>
    </x:row>
    <x:row r="198" ht="42" customHeight="1">
      <x:c r="A198" s="95" t="str">
        <x:v>RETURN-GEN_STORES_D36_01455-1448</x:v>
      </x:c>
      <x:c r="B198" s="95" t="str">
        <x:v>GEN_STORES_D36_01455</x:v>
      </x:c>
      <x:c r="C198" s="95" t="str">
        <x:v>D36</x:v>
      </x:c>
      <x:c r="D198" s="95" t="str">
        <x:v>Cardic Inpatients</x:v>
      </x:c>
      <x:c r="E198" s="95" t="str">
        <x:v>L04</x:v>
      </x:c>
      <x:c r="F198" s="95" t="str">
        <x:v>Collection</x:v>
      </x:c>
      <x:c r="G198" s="95" t="str">
        <x:v>return</x:v>
      </x:c>
      <x:c r="H198" s="98" t="n">
        <x:v>46028.50366898148</x:v>
      </x:c>
      <x:c r="I198" s="98" t="n">
        <x:v>46028.503900462965</x:v>
      </x:c>
      <x:c r="J198" s="95" t="str">
        <x:v>Tue</x:v>
      </x:c>
      <x:c r="K198" s="95" t="n">
        <x:v>1</x:v>
      </x:c>
      <x:c r="L198" s="95" t="str">
        <x:v>Completed</x:v>
      </x:c>
      <x:c r="M198" s="95" t="str">
        <x:v>Goods Cage</x:v>
      </x:c>
      <x:c r="N198" s="95" t="str">
        <x:v>D35-DROP-ZONE</x:v>
      </x:c>
      <x:c r="O198" s="95" t="str">
        <x:v>D49-STORES</x:v>
      </x:c>
      <x:c r="P198" s="95" t="str">
        <x:v>D49-STORES</x:v>
      </x:c>
      <x:c r="Q198" s="95" t="str">
        <x:v>AMR pickup completed</x:v>
      </x:c>
      <x:c r="R198" s="98" t="n">
        <x:v>46028.503900462965</x:v>
      </x:c>
      <x:c r="S198" s="95" t="str">
        <x:v>Generated delayed return for GEN_STORES_D36_01455</x:v>
      </x:c>
    </x:row>
    <x:row r="199" ht="42" customHeight="1">
      <x:c r="A199" s="95" t="str">
        <x:v>RETURN-GEN_STORES_D36_01457-1454</x:v>
      </x:c>
      <x:c r="B199" s="95" t="str">
        <x:v>GEN_STORES_D36_01457</x:v>
      </x:c>
      <x:c r="C199" s="95" t="str">
        <x:v>D36</x:v>
      </x:c>
      <x:c r="D199" s="95" t="str">
        <x:v>Cardic Inpatients</x:v>
      </x:c>
      <x:c r="E199" s="95" t="str">
        <x:v>L04</x:v>
      </x:c>
      <x:c r="F199" s="95" t="str">
        <x:v>Collection</x:v>
      </x:c>
      <x:c r="G199" s="95" t="str">
        <x:v>return</x:v>
      </x:c>
      <x:c r="H199" s="98" t="n">
        <x:v>46028.524733796294</x:v>
      </x:c>
      <x:c r="I199" s="98" t="n">
        <x:v>46028.52994212963</x:v>
      </x:c>
      <x:c r="J199" s="95" t="str">
        <x:v>Tue</x:v>
      </x:c>
      <x:c r="K199" s="95" t="n">
        <x:v>1</x:v>
      </x:c>
      <x:c r="L199" s="95" t="str">
        <x:v>Completed</x:v>
      </x:c>
      <x:c r="M199" s="95" t="str">
        <x:v>Goods Cage</x:v>
      </x:c>
      <x:c r="N199" s="95" t="str">
        <x:v>D35-DROP-ZONE</x:v>
      </x:c>
      <x:c r="O199" s="95" t="str">
        <x:v>D49-STORES</x:v>
      </x:c>
      <x:c r="P199" s="95" t="str">
        <x:v>D49-STORES</x:v>
      </x:c>
      <x:c r="Q199" s="95" t="str">
        <x:v>AMR pickup completed</x:v>
      </x:c>
      <x:c r="R199" s="98" t="n">
        <x:v>46028.52994212963</x:v>
      </x:c>
      <x:c r="S199" s="95" t="str">
        <x:v>Generated delayed return for GEN_STORES_D36_01457</x:v>
      </x:c>
    </x:row>
    <x:row r="200" ht="42" customHeight="1">
      <x:c r="A200" s="95" t="str">
        <x:v>RETURN-GEN_STORES_D36_01476-1457</x:v>
      </x:c>
      <x:c r="B200" s="95" t="str">
        <x:v>GEN_STORES_D36_01476</x:v>
      </x:c>
      <x:c r="C200" s="95" t="str">
        <x:v>D36</x:v>
      </x:c>
      <x:c r="D200" s="95" t="str">
        <x:v>Cardic Inpatients</x:v>
      </x:c>
      <x:c r="E200" s="95" t="str">
        <x:v>L04</x:v>
      </x:c>
      <x:c r="F200" s="95" t="str">
        <x:v>Collection</x:v>
      </x:c>
      <x:c r="G200" s="95" t="str">
        <x:v>return</x:v>
      </x:c>
      <x:c r="H200" s="98" t="n">
        <x:v>46028.53487268519</x:v>
      </x:c>
      <x:c r="I200" s="98" t="n">
        <x:v>46028.53872685185</x:v>
      </x:c>
      <x:c r="J200" s="95" t="str">
        <x:v>Tue</x:v>
      </x:c>
      <x:c r="K200" s="95" t="n">
        <x:v>1</x:v>
      </x:c>
      <x:c r="L200" s="95" t="str">
        <x:v>Completed</x:v>
      </x:c>
      <x:c r="M200" s="95" t="str">
        <x:v>Goods Cage</x:v>
      </x:c>
      <x:c r="N200" s="95" t="str">
        <x:v>D35-DROP-ZONE</x:v>
      </x:c>
      <x:c r="O200" s="95" t="str">
        <x:v>D49-STORES</x:v>
      </x:c>
      <x:c r="P200" s="95" t="str">
        <x:v>D49-STORES</x:v>
      </x:c>
      <x:c r="Q200" s="95" t="str">
        <x:v>AMR pickup completed</x:v>
      </x:c>
      <x:c r="R200" s="98" t="n">
        <x:v>46028.53872685185</x:v>
      </x:c>
      <x:c r="S200" s="95" t="str">
        <x:v>Generated delayed return for GEN_STORES_D36_01476</x:v>
      </x:c>
    </x:row>
    <x:row r="201" ht="42" customHeight="1">
      <x:c r="A201" s="95" t="str">
        <x:v>RETURN-GEN_STORES_D37_00488-663</x:v>
      </x:c>
      <x:c r="B201" s="95" t="str">
        <x:v>GEN_STORES_D37_00488</x:v>
      </x:c>
      <x:c r="C201" s="95" t="str">
        <x:v>D37</x:v>
      </x:c>
      <x:c r="D201" s="95" t="str">
        <x:v>Adult Inpatients 5</x:v>
      </x:c>
      <x:c r="E201" s="95" t="str">
        <x:v>L04</x:v>
      </x:c>
      <x:c r="F201" s="95" t="str">
        <x:v>Collection</x:v>
      </x:c>
      <x:c r="G201" s="95" t="str">
        <x:v>return</x:v>
      </x:c>
      <x:c r="H201" s="98" t="n">
        <x:v>46024.65944444444</x:v>
      </x:c>
      <x:c r="I201" s="98" t="n">
        <x:v>46024.66148148148</x:v>
      </x:c>
      <x:c r="J201" s="95" t="str">
        <x:v>Fri</x:v>
      </x:c>
      <x:c r="K201" s="95" t="n">
        <x:v>1</x:v>
      </x:c>
      <x:c r="L201" s="95" t="str">
        <x:v>Completed</x:v>
      </x:c>
      <x:c r="M201" s="95" t="str">
        <x:v>Goods Cage</x:v>
      </x:c>
      <x:c r="N201" s="95" t="str">
        <x:v>D38-DROP-ZONE</x:v>
      </x:c>
      <x:c r="O201" s="95" t="str">
        <x:v>D49-STORES</x:v>
      </x:c>
      <x:c r="P201" s="95" t="str">
        <x:v>D49-STORES</x:v>
      </x:c>
      <x:c r="Q201" s="95" t="str">
        <x:v>AMR pickup completed</x:v>
      </x:c>
      <x:c r="R201" s="98" t="n">
        <x:v>46024.66148148148</x:v>
      </x:c>
      <x:c r="S201" s="95" t="str">
        <x:v>Generated delayed return for GEN_STORES_D37_00488</x:v>
      </x:c>
    </x:row>
    <x:row r="202" ht="42" customHeight="1">
      <x:c r="A202" s="95" t="str">
        <x:v>RETURN-GEN_STORES_D37_00489-670</x:v>
      </x:c>
      <x:c r="B202" s="95" t="str">
        <x:v>GEN_STORES_D37_00489</x:v>
      </x:c>
      <x:c r="C202" s="95" t="str">
        <x:v>D37</x:v>
      </x:c>
      <x:c r="D202" s="95" t="str">
        <x:v>Adult Inpatients 5</x:v>
      </x:c>
      <x:c r="E202" s="95" t="str">
        <x:v>L04</x:v>
      </x:c>
      <x:c r="F202" s="95" t="str">
        <x:v>Collection</x:v>
      </x:c>
      <x:c r="G202" s="95" t="str">
        <x:v>return</x:v>
      </x:c>
      <x:c r="H202" s="98" t="n">
        <x:v>46024.680127314816</x:v>
      </x:c>
      <x:c r="I202" s="98" t="n">
        <x:v>46024.68210648148</x:v>
      </x:c>
      <x:c r="J202" s="95" t="str">
        <x:v>Fri</x:v>
      </x:c>
      <x:c r="K202" s="95" t="n">
        <x:v>1</x:v>
      </x:c>
      <x:c r="L202" s="95" t="str">
        <x:v>Completed</x:v>
      </x:c>
      <x:c r="M202" s="95" t="str">
        <x:v>Goods Cage</x:v>
      </x:c>
      <x:c r="N202" s="95" t="str">
        <x:v>D38-DROP-ZONE</x:v>
      </x:c>
      <x:c r="O202" s="95" t="str">
        <x:v>D49-STORES</x:v>
      </x:c>
      <x:c r="P202" s="95" t="str">
        <x:v>D49-STORES</x:v>
      </x:c>
      <x:c r="Q202" s="95" t="str">
        <x:v>AMR pickup completed</x:v>
      </x:c>
      <x:c r="R202" s="98" t="n">
        <x:v>46024.68210648148</x:v>
      </x:c>
      <x:c r="S202" s="95" t="str">
        <x:v>Generated delayed return for GEN_STORES_D37_00489</x:v>
      </x:c>
    </x:row>
    <x:row r="203" ht="42" customHeight="1">
      <x:c r="A203" s="95" t="str">
        <x:v>RETURN-GEN_STORES_D37_00490-673</x:v>
      </x:c>
      <x:c r="B203" s="95" t="str">
        <x:v>GEN_STORES_D37_00490</x:v>
      </x:c>
      <x:c r="C203" s="95" t="str">
        <x:v>D37</x:v>
      </x:c>
      <x:c r="D203" s="95" t="str">
        <x:v>Adult Inpatients 5</x:v>
      </x:c>
      <x:c r="E203" s="95" t="str">
        <x:v>L04</x:v>
      </x:c>
      <x:c r="F203" s="95" t="str">
        <x:v>Collection</x:v>
      </x:c>
      <x:c r="G203" s="95" t="str">
        <x:v>return</x:v>
      </x:c>
      <x:c r="H203" s="98" t="n">
        <x:v>46024.70097222222</x:v>
      </x:c>
      <x:c r="I203" s="98" t="n">
        <x:v>46024.70295138889</x:v>
      </x:c>
      <x:c r="J203" s="95" t="str">
        <x:v>Fri</x:v>
      </x:c>
      <x:c r="K203" s="95" t="n">
        <x:v>1</x:v>
      </x:c>
      <x:c r="L203" s="95" t="str">
        <x:v>Completed</x:v>
      </x:c>
      <x:c r="M203" s="95" t="str">
        <x:v>Goods Cage</x:v>
      </x:c>
      <x:c r="N203" s="95" t="str">
        <x:v>D38-DROP-ZONE</x:v>
      </x:c>
      <x:c r="O203" s="95" t="str">
        <x:v>D49-STORES</x:v>
      </x:c>
      <x:c r="P203" s="95" t="str">
        <x:v>D49-STORES</x:v>
      </x:c>
      <x:c r="Q203" s="95" t="str">
        <x:v>AMR pickup completed</x:v>
      </x:c>
      <x:c r="R203" s="98" t="n">
        <x:v>46024.70295138889</x:v>
      </x:c>
      <x:c r="S203" s="95" t="str">
        <x:v>Generated delayed return for GEN_STORES_D37_00490</x:v>
      </x:c>
    </x:row>
    <x:row r="204" ht="42" customHeight="1">
      <x:c r="A204" s="95" t="str">
        <x:v>RETURN-GEN_STORES_D38_01144-1235</x:v>
      </x:c>
      <x:c r="B204" s="95" t="str">
        <x:v>GEN_STORES_D38_01144</x:v>
      </x:c>
      <x:c r="C204" s="95" t="str">
        <x:v>D38</x:v>
      </x:c>
      <x:c r="D204" s="95" t="str">
        <x:v>Elective Orthopaedic Inpatients</x:v>
      </x:c>
      <x:c r="E204" s="95" t="str">
        <x:v>L04</x:v>
      </x:c>
      <x:c r="F204" s="95" t="str">
        <x:v>Collection</x:v>
      </x:c>
      <x:c r="G204" s="95" t="str">
        <x:v>return</x:v>
      </x:c>
      <x:c r="H204" s="98" t="n">
        <x:v>46027.565625</x:v>
      </x:c>
      <x:c r="I204" s="98" t="n">
        <x:v>46027.63821759259</x:v>
      </x:c>
      <x:c r="J204" s="95" t="str">
        <x:v>Mon</x:v>
      </x:c>
      <x:c r="K204" s="95" t="n">
        <x:v>1</x:v>
      </x:c>
      <x:c r="L204" s="95" t="str">
        <x:v>Completed</x:v>
      </x:c>
      <x:c r="M204" s="95" t="str">
        <x:v>Goods Cage</x:v>
      </x:c>
      <x:c r="N204" s="95" t="str">
        <x:v>D38-DROP-ZONE</x:v>
      </x:c>
      <x:c r="O204" s="95" t="str">
        <x:v>D49-STORES</x:v>
      </x:c>
      <x:c r="P204" s="95" t="str">
        <x:v>D49-STORES</x:v>
      </x:c>
      <x:c r="Q204" s="95" t="str">
        <x:v>AMR pickup completed</x:v>
      </x:c>
      <x:c r="R204" s="98" t="n">
        <x:v>46027.63821759259</x:v>
      </x:c>
      <x:c r="S204" s="95" t="str">
        <x:v>Generated delayed return for GEN_STORES_D38_01144</x:v>
      </x:c>
    </x:row>
    <x:row r="205" ht="42" customHeight="1">
      <x:c r="A205" s="95" t="str">
        <x:v>RETURN-GEN_STORES_D38_01164-1248</x:v>
      </x:c>
      <x:c r="B205" s="95" t="str">
        <x:v>GEN_STORES_D38_01164</x:v>
      </x:c>
      <x:c r="C205" s="95" t="str">
        <x:v>D38</x:v>
      </x:c>
      <x:c r="D205" s="95" t="str">
        <x:v>Elective Orthopaedic Inpatients</x:v>
      </x:c>
      <x:c r="E205" s="95" t="str">
        <x:v>L04</x:v>
      </x:c>
      <x:c r="F205" s="95" t="str">
        <x:v>Collection</x:v>
      </x:c>
      <x:c r="G205" s="95" t="str">
        <x:v>return</x:v>
      </x:c>
      <x:c r="H205" s="98" t="n">
        <x:v>46027.678761574076</x:v>
      </x:c>
      <x:c r="I205" s="98" t="n">
        <x:v>46027.680972222224</x:v>
      </x:c>
      <x:c r="J205" s="95" t="str">
        <x:v>Mon</x:v>
      </x:c>
      <x:c r="K205" s="95" t="n">
        <x:v>1</x:v>
      </x:c>
      <x:c r="L205" s="95" t="str">
        <x:v>Completed</x:v>
      </x:c>
      <x:c r="M205" s="95" t="str">
        <x:v>Goods Cage</x:v>
      </x:c>
      <x:c r="N205" s="95" t="str">
        <x:v>D38-DROP-ZONE</x:v>
      </x:c>
      <x:c r="O205" s="95" t="str">
        <x:v>D49-STORES</x:v>
      </x:c>
      <x:c r="P205" s="95" t="str">
        <x:v>D49-STORES</x:v>
      </x:c>
      <x:c r="Q205" s="95" t="str">
        <x:v>AMR pickup completed</x:v>
      </x:c>
      <x:c r="R205" s="98" t="n">
        <x:v>46027.680972222224</x:v>
      </x:c>
      <x:c r="S205" s="95" t="str">
        <x:v>Generated delayed return for GEN_STORES_D38_01164</x:v>
      </x:c>
    </x:row>
    <x:row r="206" ht="42" customHeight="1">
      <x:c r="A206" s="95" t="str">
        <x:v>RETURN-GEN_STORES_D38_01166-1249</x:v>
      </x:c>
      <x:c r="B206" s="95" t="str">
        <x:v>GEN_STORES_D38_01166</x:v>
      </x:c>
      <x:c r="C206" s="95" t="str">
        <x:v>D38</x:v>
      </x:c>
      <x:c r="D206" s="95" t="str">
        <x:v>Elective Orthopaedic Inpatients</x:v>
      </x:c>
      <x:c r="E206" s="95" t="str">
        <x:v>L04</x:v>
      </x:c>
      <x:c r="F206" s="95" t="str">
        <x:v>Collection</x:v>
      </x:c>
      <x:c r="G206" s="95" t="str">
        <x:v>return</x:v>
      </x:c>
      <x:c r="H206" s="98" t="n">
        <x:v>46027.67921296296</x:v>
      </x:c>
      <x:c r="I206" s="98" t="n">
        <x:v>46027.68136574074</x:v>
      </x:c>
      <x:c r="J206" s="95" t="str">
        <x:v>Mon</x:v>
      </x:c>
      <x:c r="K206" s="95" t="n">
        <x:v>1</x:v>
      </x:c>
      <x:c r="L206" s="95" t="str">
        <x:v>Completed</x:v>
      </x:c>
      <x:c r="M206" s="95" t="str">
        <x:v>Goods Cage</x:v>
      </x:c>
      <x:c r="N206" s="95" t="str">
        <x:v>D38-DROP-ZONE</x:v>
      </x:c>
      <x:c r="O206" s="95" t="str">
        <x:v>D49-STORES</x:v>
      </x:c>
      <x:c r="P206" s="95" t="str">
        <x:v>D49-STORES</x:v>
      </x:c>
      <x:c r="Q206" s="95" t="str">
        <x:v>AMR pickup completed</x:v>
      </x:c>
      <x:c r="R206" s="98" t="n">
        <x:v>46027.68136574074</x:v>
      </x:c>
      <x:c r="S206" s="95" t="str">
        <x:v>Generated delayed return for GEN_STORES_D38_01166</x:v>
      </x:c>
    </x:row>
    <x:row r="207" ht="42" customHeight="1">
      <x:c r="A207" s="95" t="str">
        <x:v>RETURN-GEN_STORES_D39_01477-1474</x:v>
      </x:c>
      <x:c r="B207" s="95" t="str">
        <x:v>GEN_STORES_D39_01477</x:v>
      </x:c>
      <x:c r="C207" s="95" t="str">
        <x:v>D39</x:v>
      </x:c>
      <x:c r="D207" s="95" t="str">
        <x:v>Adult Inpatients 6</x:v>
      </x:c>
      <x:c r="E207" s="95" t="str">
        <x:v>L04</x:v>
      </x:c>
      <x:c r="F207" s="95" t="str">
        <x:v>Collection</x:v>
      </x:c>
      <x:c r="G207" s="95" t="str">
        <x:v>return</x:v>
      </x:c>
      <x:c r="H207" s="98" t="n">
        <x:v>46028.54547453704</x:v>
      </x:c>
      <x:c r="I207" s="98" t="n">
        <x:v>46028.55028935185</x:v>
      </x:c>
      <x:c r="J207" s="95" t="str">
        <x:v>Tue</x:v>
      </x:c>
      <x:c r="K207" s="95" t="n">
        <x:v>1</x:v>
      </x:c>
      <x:c r="L207" s="95" t="str">
        <x:v>Completed</x:v>
      </x:c>
      <x:c r="M207" s="95" t="str">
        <x:v>Goods Cage</x:v>
      </x:c>
      <x:c r="N207" s="95" t="str">
        <x:v>D39-DROP-ZONE</x:v>
      </x:c>
      <x:c r="O207" s="95" t="str">
        <x:v>D49-STORES</x:v>
      </x:c>
      <x:c r="P207" s="95" t="str">
        <x:v>D49-STORES</x:v>
      </x:c>
      <x:c r="Q207" s="95" t="str">
        <x:v>AMR pickup completed</x:v>
      </x:c>
      <x:c r="R207" s="98" t="n">
        <x:v>46028.55028935185</x:v>
      </x:c>
      <x:c r="S207" s="95" t="str">
        <x:v>Generated delayed return for GEN_STORES_D39_01477</x:v>
      </x:c>
    </x:row>
    <x:row r="208" ht="42" customHeight="1">
      <x:c r="A208" s="95" t="str">
        <x:v>RETURN-GEN_STORES_D39_01514-1479</x:v>
      </x:c>
      <x:c r="B208" s="95" t="str">
        <x:v>GEN_STORES_D39_01514</x:v>
      </x:c>
      <x:c r="C208" s="95" t="str">
        <x:v>D39</x:v>
      </x:c>
      <x:c r="D208" s="95" t="str">
        <x:v>Adult Inpatients 6</x:v>
      </x:c>
      <x:c r="E208" s="95" t="str">
        <x:v>L04</x:v>
      </x:c>
      <x:c r="F208" s="95" t="str">
        <x:v>Collection</x:v>
      </x:c>
      <x:c r="G208" s="95" t="str">
        <x:v>return</x:v>
      </x:c>
      <x:c r="H208" s="98" t="n">
        <x:v>46028.56642361111</x:v>
      </x:c>
      <x:c r="I208" s="98" t="n">
        <x:v>46028.568923611114</x:v>
      </x:c>
      <x:c r="J208" s="95" t="str">
        <x:v>Tue</x:v>
      </x:c>
      <x:c r="K208" s="95" t="n">
        <x:v>1</x:v>
      </x:c>
      <x:c r="L208" s="95" t="str">
        <x:v>Completed</x:v>
      </x:c>
      <x:c r="M208" s="95" t="str">
        <x:v>Goods Cage</x:v>
      </x:c>
      <x:c r="N208" s="95" t="str">
        <x:v>D39-DROP-ZONE</x:v>
      </x:c>
      <x:c r="O208" s="95" t="str">
        <x:v>D49-STORES</x:v>
      </x:c>
      <x:c r="P208" s="95" t="str">
        <x:v>D49-STORES</x:v>
      </x:c>
      <x:c r="Q208" s="95" t="str">
        <x:v>AMR pickup completed</x:v>
      </x:c>
      <x:c r="R208" s="98" t="n">
        <x:v>46028.568923611114</x:v>
      </x:c>
      <x:c r="S208" s="95" t="str">
        <x:v>Generated delayed return for GEN_STORES_D39_01514</x:v>
      </x:c>
    </x:row>
    <x:row r="209" ht="42" customHeight="1">
      <x:c r="A209" s="95" t="str">
        <x:v>RETURN-GEN_STORES_D39_01533-1500</x:v>
      </x:c>
      <x:c r="B209" s="95" t="str">
        <x:v>GEN_STORES_D39_01533</x:v>
      </x:c>
      <x:c r="C209" s="95" t="str">
        <x:v>D39</x:v>
      </x:c>
      <x:c r="D209" s="95" t="str">
        <x:v>Adult Inpatients 6</x:v>
      </x:c>
      <x:c r="E209" s="95" t="str">
        <x:v>L04</x:v>
      </x:c>
      <x:c r="F209" s="95" t="str">
        <x:v>Collection</x:v>
      </x:c>
      <x:c r="G209" s="95" t="str">
        <x:v>return</x:v>
      </x:c>
      <x:c r="H209" s="98" t="n">
        <x:v>46028.58015046296</x:v>
      </x:c>
      <x:c r="I209" s="98" t="n">
        <x:v>46028.58038194444</x:v>
      </x:c>
      <x:c r="J209" s="95" t="str">
        <x:v>Tue</x:v>
      </x:c>
      <x:c r="K209" s="95" t="n">
        <x:v>1</x:v>
      </x:c>
      <x:c r="L209" s="95" t="str">
        <x:v>Completed</x:v>
      </x:c>
      <x:c r="M209" s="95" t="str">
        <x:v>Goods Cage</x:v>
      </x:c>
      <x:c r="N209" s="95" t="str">
        <x:v>D39-DROP-ZONE</x:v>
      </x:c>
      <x:c r="O209" s="95" t="str">
        <x:v>D49-STORES</x:v>
      </x:c>
      <x:c r="P209" s="95" t="str">
        <x:v>D49-STORES</x:v>
      </x:c>
      <x:c r="Q209" s="95" t="str">
        <x:v>AMR pickup completed</x:v>
      </x:c>
      <x:c r="R209" s="98" t="n">
        <x:v>46028.58038194444</x:v>
      </x:c>
      <x:c r="S209" s="95" t="str">
        <x:v>Generated delayed return for GEN_STORES_D39_01533</x:v>
      </x:c>
    </x:row>
    <x:row r="210" ht="42" customHeight="1">
      <x:c r="A210" s="95" t="str">
        <x:v>RETURN-GEN_STORES_D3_01167-1255</x:v>
      </x:c>
      <x:c r="B210" s="95" t="str">
        <x:v>GEN_STORES_D3_01167</x:v>
      </x:c>
      <x:c r="C210" s="95" t="str">
        <x:v>D3</x:v>
      </x:c>
      <x:c r="D210" s="95" t="str">
        <x:v>Urgent Care</x:v>
      </x:c>
      <x:c r="E210" s="95" t="str">
        <x:v>L00</x:v>
      </x:c>
      <x:c r="F210" s="95" t="str">
        <x:v>Collection</x:v>
      </x:c>
      <x:c r="G210" s="95" t="str">
        <x:v>return</x:v>
      </x:c>
      <x:c r="H210" s="98" t="n">
        <x:v>46027.6808912037</x:v>
      </x:c>
      <x:c r="I210" s="98" t="n">
        <x:v>46027.68311342593</x:v>
      </x:c>
      <x:c r="J210" s="95" t="str">
        <x:v>Mon</x:v>
      </x:c>
      <x:c r="K210" s="95" t="n">
        <x:v>1</x:v>
      </x:c>
      <x:c r="L210" s="95" t="str">
        <x:v>Completed</x:v>
      </x:c>
      <x:c r="M210" s="95" t="str">
        <x:v>Goods Cage</x:v>
      </x:c>
      <x:c r="N210" s="95" t="str">
        <x:v>D3-DROP-ZONE</x:v>
      </x:c>
      <x:c r="O210" s="95" t="str">
        <x:v>D49-STORES</x:v>
      </x:c>
      <x:c r="P210" s="95" t="str">
        <x:v>D49-STORES</x:v>
      </x:c>
      <x:c r="Q210" s="95" t="str">
        <x:v>AMR pickup completed</x:v>
      </x:c>
      <x:c r="R210" s="98" t="n">
        <x:v>46027.68311342593</x:v>
      </x:c>
      <x:c r="S210" s="95" t="str">
        <x:v>Generated delayed return for GEN_STORES_D3_01167</x:v>
      </x:c>
    </x:row>
    <x:row r="211" ht="42" customHeight="1">
      <x:c r="A211" s="95" t="str">
        <x:v>RETURN-GEN_STORES_D3_01168-1259</x:v>
      </x:c>
      <x:c r="B211" s="95" t="str">
        <x:v>GEN_STORES_D3_01168</x:v>
      </x:c>
      <x:c r="C211" s="95" t="str">
        <x:v>D3</x:v>
      </x:c>
      <x:c r="D211" s="95" t="str">
        <x:v>Urgent Care</x:v>
      </x:c>
      <x:c r="E211" s="95" t="str">
        <x:v>L00</x:v>
      </x:c>
      <x:c r="F211" s="95" t="str">
        <x:v>Collection</x:v>
      </x:c>
      <x:c r="G211" s="95" t="str">
        <x:v>return</x:v>
      </x:c>
      <x:c r="H211" s="98" t="n">
        <x:v>46027.682708333334</x:v>
      </x:c>
      <x:c r="I211" s="98" t="n">
        <x:v>46027.685625</x:v>
      </x:c>
      <x:c r="J211" s="95" t="str">
        <x:v>Mon</x:v>
      </x:c>
      <x:c r="K211" s="95" t="n">
        <x:v>1</x:v>
      </x:c>
      <x:c r="L211" s="95" t="str">
        <x:v>Completed</x:v>
      </x:c>
      <x:c r="M211" s="95" t="str">
        <x:v>Goods Cage</x:v>
      </x:c>
      <x:c r="N211" s="95" t="str">
        <x:v>D3-DROP-ZONE</x:v>
      </x:c>
      <x:c r="O211" s="95" t="str">
        <x:v>D49-STORES</x:v>
      </x:c>
      <x:c r="P211" s="95" t="str">
        <x:v>D49-STORES</x:v>
      </x:c>
      <x:c r="Q211" s="95" t="str">
        <x:v>AMR pickup completed</x:v>
      </x:c>
      <x:c r="R211" s="98" t="n">
        <x:v>46027.685625</x:v>
      </x:c>
      <x:c r="S211" s="95" t="str">
        <x:v>Generated delayed return for GEN_STORES_D3_01168</x:v>
      </x:c>
    </x:row>
    <x:row r="212" ht="42" customHeight="1">
      <x:c r="A212" s="95" t="str">
        <x:v>RETURN-GEN_STORES_D3_01188-1260</x:v>
      </x:c>
      <x:c r="B212" s="95" t="str">
        <x:v>GEN_STORES_D3_01188</x:v>
      </x:c>
      <x:c r="C212" s="95" t="str">
        <x:v>D3</x:v>
      </x:c>
      <x:c r="D212" s="95" t="str">
        <x:v>Urgent Care</x:v>
      </x:c>
      <x:c r="E212" s="95" t="str">
        <x:v>L00</x:v>
      </x:c>
      <x:c r="F212" s="95" t="str">
        <x:v>Collection</x:v>
      </x:c>
      <x:c r="G212" s="95" t="str">
        <x:v>return</x:v>
      </x:c>
      <x:c r="H212" s="98" t="n">
        <x:v>46027.683333333334</x:v>
      </x:c>
      <x:c r="I212" s="98" t="n">
        <x:v>46027.68634259259</x:v>
      </x:c>
      <x:c r="J212" s="95" t="str">
        <x:v>Mon</x:v>
      </x:c>
      <x:c r="K212" s="95" t="n">
        <x:v>1</x:v>
      </x:c>
      <x:c r="L212" s="95" t="str">
        <x:v>Completed</x:v>
      </x:c>
      <x:c r="M212" s="95" t="str">
        <x:v>Goods Cage</x:v>
      </x:c>
      <x:c r="N212" s="95" t="str">
        <x:v>D3-DROP-ZONE</x:v>
      </x:c>
      <x:c r="O212" s="95" t="str">
        <x:v>D49-STORES</x:v>
      </x:c>
      <x:c r="P212" s="95" t="str">
        <x:v>D49-STORES</x:v>
      </x:c>
      <x:c r="Q212" s="95" t="str">
        <x:v>AMR pickup completed</x:v>
      </x:c>
      <x:c r="R212" s="98" t="n">
        <x:v>46027.68634259259</x:v>
      </x:c>
      <x:c r="S212" s="95" t="str">
        <x:v>Generated delayed return for GEN_STORES_D3_01188</x:v>
      </x:c>
    </x:row>
    <x:row r="213" ht="42" customHeight="1">
      <x:c r="A213" s="95" t="str">
        <x:v>RETURN-GEN_STORES_D40_01537-1521</x:v>
      </x:c>
      <x:c r="B213" s="95" t="str">
        <x:v>GEN_STORES_D40_01537</x:v>
      </x:c>
      <x:c r="C213" s="95" t="str">
        <x:v>D40</x:v>
      </x:c>
      <x:c r="D213" s="95" t="str">
        <x:v>Adult Inpatients 7</x:v>
      </x:c>
      <x:c r="E213" s="95" t="str">
        <x:v>L04</x:v>
      </x:c>
      <x:c r="F213" s="95" t="str">
        <x:v>Collection</x:v>
      </x:c>
      <x:c r="G213" s="95" t="str">
        <x:v>return</x:v>
      </x:c>
      <x:c r="H213" s="98" t="n">
        <x:v>46028.5912962963</x:v>
      </x:c>
      <x:c r="I213" s="98" t="n">
        <x:v>46028.594039351854</x:v>
      </x:c>
      <x:c r="J213" s="95" t="str">
        <x:v>Tue</x:v>
      </x:c>
      <x:c r="K213" s="95" t="n">
        <x:v>1</x:v>
      </x:c>
      <x:c r="L213" s="95" t="str">
        <x:v>Completed</x:v>
      </x:c>
      <x:c r="M213" s="95" t="str">
        <x:v>Goods Cage</x:v>
      </x:c>
      <x:c r="N213" s="95" t="str">
        <x:v>D39-DROP-ZONE</x:v>
      </x:c>
      <x:c r="O213" s="95" t="str">
        <x:v>D49-STORES</x:v>
      </x:c>
      <x:c r="P213" s="95" t="str">
        <x:v>D49-STORES</x:v>
      </x:c>
      <x:c r="Q213" s="95" t="str">
        <x:v>AMR pickup completed</x:v>
      </x:c>
      <x:c r="R213" s="98" t="n">
        <x:v>46028.594039351854</x:v>
      </x:c>
      <x:c r="S213" s="95" t="str">
        <x:v>Generated delayed return for GEN_STORES_D40_01537</x:v>
      </x:c>
    </x:row>
    <x:row r="214" ht="42" customHeight="1">
      <x:c r="A214" s="95" t="str">
        <x:v>RETURN-GEN_STORES_D40_01539-1536</x:v>
      </x:c>
      <x:c r="B214" s="95" t="str">
        <x:v>GEN_STORES_D40_01539</x:v>
      </x:c>
      <x:c r="C214" s="95" t="str">
        <x:v>D40</x:v>
      </x:c>
      <x:c r="D214" s="95" t="str">
        <x:v>Adult Inpatients 7</x:v>
      </x:c>
      <x:c r="E214" s="95" t="str">
        <x:v>L04</x:v>
      </x:c>
      <x:c r="F214" s="95" t="str">
        <x:v>Collection</x:v>
      </x:c>
      <x:c r="G214" s="95" t="str">
        <x:v>return</x:v>
      </x:c>
      <x:c r="H214" s="98" t="n">
        <x:v>46028.608125</x:v>
      </x:c>
      <x:c r="I214" s="98" t="n">
        <x:v>46028.60835648148</x:v>
      </x:c>
      <x:c r="J214" s="95" t="str">
        <x:v>Tue</x:v>
      </x:c>
      <x:c r="K214" s="95" t="n">
        <x:v>1</x:v>
      </x:c>
      <x:c r="L214" s="95" t="str">
        <x:v>Completed</x:v>
      </x:c>
      <x:c r="M214" s="95" t="str">
        <x:v>Goods Cage</x:v>
      </x:c>
      <x:c r="N214" s="95" t="str">
        <x:v>D39-DROP-ZONE</x:v>
      </x:c>
      <x:c r="O214" s="95" t="str">
        <x:v>D49-STORES</x:v>
      </x:c>
      <x:c r="P214" s="95" t="str">
        <x:v>D49-STORES</x:v>
      </x:c>
      <x:c r="Q214" s="95" t="str">
        <x:v>AMR pickup completed</x:v>
      </x:c>
      <x:c r="R214" s="98" t="n">
        <x:v>46028.60835648148</x:v>
      </x:c>
      <x:c r="S214" s="95" t="str">
        <x:v>Generated delayed return for GEN_STORES_D40_01539</x:v>
      </x:c>
    </x:row>
    <x:row r="215" ht="42" customHeight="1">
      <x:c r="A215" s="95" t="str">
        <x:v>RETURN-GEN_STORES_D40_01541-1537</x:v>
      </x:c>
      <x:c r="B215" s="95" t="str">
        <x:v>GEN_STORES_D40_01541</x:v>
      </x:c>
      <x:c r="C215" s="95" t="str">
        <x:v>D40</x:v>
      </x:c>
      <x:c r="D215" s="95" t="str">
        <x:v>Adult Inpatients 7</x:v>
      </x:c>
      <x:c r="E215" s="95" t="str">
        <x:v>L04</x:v>
      </x:c>
      <x:c r="F215" s="95" t="str">
        <x:v>Collection</x:v>
      </x:c>
      <x:c r="G215" s="95" t="str">
        <x:v>return</x:v>
      </x:c>
      <x:c r="H215" s="98" t="n">
        <x:v>46028.61851851852</x:v>
      </x:c>
      <x:c r="I215" s="98" t="n">
        <x:v>46028.62850694444</x:v>
      </x:c>
      <x:c r="J215" s="95" t="str">
        <x:v>Tue</x:v>
      </x:c>
      <x:c r="K215" s="95" t="n">
        <x:v>1</x:v>
      </x:c>
      <x:c r="L215" s="95" t="str">
        <x:v>Completed</x:v>
      </x:c>
      <x:c r="M215" s="95" t="str">
        <x:v>Goods Cage</x:v>
      </x:c>
      <x:c r="N215" s="95" t="str">
        <x:v>D39-DROP-ZONE</x:v>
      </x:c>
      <x:c r="O215" s="95" t="str">
        <x:v>D49-STORES</x:v>
      </x:c>
      <x:c r="P215" s="95" t="str">
        <x:v>D49-STORES</x:v>
      </x:c>
      <x:c r="Q215" s="95" t="str">
        <x:v>AMR pickup completed</x:v>
      </x:c>
      <x:c r="R215" s="98" t="n">
        <x:v>46028.62850694444</x:v>
      </x:c>
      <x:c r="S215" s="95" t="str">
        <x:v>Generated delayed return for GEN_STORES_D40_01541</x:v>
      </x:c>
    </x:row>
    <x:row r="216" ht="42" customHeight="1">
      <x:c r="A216" s="95" t="str">
        <x:v>RETURN-GEN_STORES_D41_01542-1539</x:v>
      </x:c>
      <x:c r="B216" s="95" t="str">
        <x:v>GEN_STORES_D41_01542</x:v>
      </x:c>
      <x:c r="C216" s="95" t="str">
        <x:v>D41</x:v>
      </x:c>
      <x:c r="D216" s="95" t="str">
        <x:v>Adult Inpatients 8</x:v>
      </x:c>
      <x:c r="E216" s="95" t="str">
        <x:v>L05</x:v>
      </x:c>
      <x:c r="F216" s="95" t="str">
        <x:v>Collection</x:v>
      </x:c>
      <x:c r="G216" s="95" t="str">
        <x:v>return</x:v>
      </x:c>
      <x:c r="H216" s="98" t="n">
        <x:v>46028.62924768519</x:v>
      </x:c>
      <x:c r="I216" s="98" t="n">
        <x:v>46028.63798611111</x:v>
      </x:c>
      <x:c r="J216" s="95" t="str">
        <x:v>Tue</x:v>
      </x:c>
      <x:c r="K216" s="95" t="n">
        <x:v>1</x:v>
      </x:c>
      <x:c r="L216" s="95" t="str">
        <x:v>Completed</x:v>
      </x:c>
      <x:c r="M216" s="95" t="str">
        <x:v>Goods Cage</x:v>
      </x:c>
      <x:c r="N216" s="95" t="str">
        <x:v>D41-DROP-ZONE</x:v>
      </x:c>
      <x:c r="O216" s="95" t="str">
        <x:v>D49-STORES</x:v>
      </x:c>
      <x:c r="P216" s="95" t="str">
        <x:v>D49-STORES</x:v>
      </x:c>
      <x:c r="Q216" s="95" t="str">
        <x:v>AMR pickup completed</x:v>
      </x:c>
      <x:c r="R216" s="98" t="n">
        <x:v>46028.63798611111</x:v>
      </x:c>
      <x:c r="S216" s="95" t="str">
        <x:v>Generated delayed return for GEN_STORES_D41_01542</x:v>
      </x:c>
    </x:row>
    <x:row r="217" ht="42" customHeight="1">
      <x:c r="A217" s="95" t="str">
        <x:v>RETURN-GEN_STORES_D41_01544-1541</x:v>
      </x:c>
      <x:c r="B217" s="95" t="str">
        <x:v>GEN_STORES_D41_01544</x:v>
      </x:c>
      <x:c r="C217" s="95" t="str">
        <x:v>D41</x:v>
      </x:c>
      <x:c r="D217" s="95" t="str">
        <x:v>Adult Inpatients 8</x:v>
      </x:c>
      <x:c r="E217" s="95" t="str">
        <x:v>L05</x:v>
      </x:c>
      <x:c r="F217" s="95" t="str">
        <x:v>Collection</x:v>
      </x:c>
      <x:c r="G217" s="95" t="str">
        <x:v>return</x:v>
      </x:c>
      <x:c r="H217" s="98" t="n">
        <x:v>46028.65015046296</x:v>
      </x:c>
      <x:c r="I217" s="98" t="n">
        <x:v>46028.6518287037</x:v>
      </x:c>
      <x:c r="J217" s="95" t="str">
        <x:v>Tue</x:v>
      </x:c>
      <x:c r="K217" s="95" t="n">
        <x:v>1</x:v>
      </x:c>
      <x:c r="L217" s="95" t="str">
        <x:v>Completed</x:v>
      </x:c>
      <x:c r="M217" s="95" t="str">
        <x:v>Goods Cage</x:v>
      </x:c>
      <x:c r="N217" s="95" t="str">
        <x:v>D41-DROP-ZONE</x:v>
      </x:c>
      <x:c r="O217" s="95" t="str">
        <x:v>D49-STORES</x:v>
      </x:c>
      <x:c r="P217" s="95" t="str">
        <x:v>D49-STORES</x:v>
      </x:c>
      <x:c r="Q217" s="95" t="str">
        <x:v>AMR pickup completed</x:v>
      </x:c>
      <x:c r="R217" s="98" t="n">
        <x:v>46028.6518287037</x:v>
      </x:c>
      <x:c r="S217" s="95" t="str">
        <x:v>Generated delayed return for GEN_STORES_D41_01544</x:v>
      </x:c>
    </x:row>
    <x:row r="218" ht="42" customHeight="1">
      <x:c r="A218" s="95" t="str">
        <x:v>RETURN-GEN_STORES_D41_01567-1542</x:v>
      </x:c>
      <x:c r="B218" s="95" t="str">
        <x:v>GEN_STORES_D41_01567</x:v>
      </x:c>
      <x:c r="C218" s="95" t="str">
        <x:v>D41</x:v>
      </x:c>
      <x:c r="D218" s="95" t="str">
        <x:v>Adult Inpatients 8</x:v>
      </x:c>
      <x:c r="E218" s="95" t="str">
        <x:v>L05</x:v>
      </x:c>
      <x:c r="F218" s="95" t="str">
        <x:v>Collection</x:v>
      </x:c>
      <x:c r="G218" s="95" t="str">
        <x:v>return</x:v>
      </x:c>
      <x:c r="H218" s="98" t="n">
        <x:v>46028.66039351852</x:v>
      </x:c>
      <x:c r="I218" s="98" t="n">
        <x:v>46028.662152777775</x:v>
      </x:c>
      <x:c r="J218" s="95" t="str">
        <x:v>Tue</x:v>
      </x:c>
      <x:c r="K218" s="95" t="n">
        <x:v>1</x:v>
      </x:c>
      <x:c r="L218" s="95" t="str">
        <x:v>Completed</x:v>
      </x:c>
      <x:c r="M218" s="95" t="str">
        <x:v>Goods Cage</x:v>
      </x:c>
      <x:c r="N218" s="95" t="str">
        <x:v>D41-DROP-ZONE</x:v>
      </x:c>
      <x:c r="O218" s="95" t="str">
        <x:v>D49-STORES</x:v>
      </x:c>
      <x:c r="P218" s="95" t="str">
        <x:v>D49-STORES</x:v>
      </x:c>
      <x:c r="Q218" s="95" t="str">
        <x:v>AMR pickup completed</x:v>
      </x:c>
      <x:c r="R218" s="98" t="n">
        <x:v>46028.662152777775</x:v>
      </x:c>
      <x:c r="S218" s="95" t="str">
        <x:v>Generated delayed return for GEN_STORES_D41_01567</x:v>
      </x:c>
    </x:row>
    <x:row r="219" ht="42" customHeight="1">
      <x:c r="A219" s="95" t="str">
        <x:v>RETURN-GEN_STORES_D42_01570-1567</x:v>
      </x:c>
      <x:c r="B219" s="95" t="str">
        <x:v>GEN_STORES_D42_01570</x:v>
      </x:c>
      <x:c r="C219" s="95" t="str">
        <x:v>D42</x:v>
      </x:c>
      <x:c r="D219" s="95" t="str">
        <x:v>Stroke Inpatients</x:v>
      </x:c>
      <x:c r="E219" s="95" t="str">
        <x:v>L05</x:v>
      </x:c>
      <x:c r="F219" s="95" t="str">
        <x:v>Collection</x:v>
      </x:c>
      <x:c r="G219" s="95" t="str">
        <x:v>return</x:v>
      </x:c>
      <x:c r="H219" s="98" t="n">
        <x:v>46028.67855324074</x:v>
      </x:c>
      <x:c r="I219" s="98" t="n">
        <x:v>46028.67878472222</x:v>
      </x:c>
      <x:c r="J219" s="95" t="str">
        <x:v>Tue</x:v>
      </x:c>
      <x:c r="K219" s="95" t="n">
        <x:v>1</x:v>
      </x:c>
      <x:c r="L219" s="95" t="str">
        <x:v>Completed</x:v>
      </x:c>
      <x:c r="M219" s="95" t="str">
        <x:v>Goods Cage</x:v>
      </x:c>
      <x:c r="N219" s="95" t="str">
        <x:v>D41-DROP-ZONE</x:v>
      </x:c>
      <x:c r="O219" s="95" t="str">
        <x:v>D49-STORES</x:v>
      </x:c>
      <x:c r="P219" s="95" t="str">
        <x:v>D49-STORES</x:v>
      </x:c>
      <x:c r="Q219" s="95" t="str">
        <x:v>AMR pickup completed</x:v>
      </x:c>
      <x:c r="R219" s="98" t="n">
        <x:v>46028.67878472222</x:v>
      </x:c>
      <x:c r="S219" s="95" t="str">
        <x:v>Generated delayed return for GEN_STORES_D42_01570</x:v>
      </x:c>
    </x:row>
    <x:row r="220" ht="42" customHeight="1">
      <x:c r="A220" s="95" t="str">
        <x:v>RETURN-GEN_STORES_D42_01571-1568</x:v>
      </x:c>
      <x:c r="B220" s="95" t="str">
        <x:v>GEN_STORES_D42_01571</x:v>
      </x:c>
      <x:c r="C220" s="95" t="str">
        <x:v>D42</x:v>
      </x:c>
      <x:c r="D220" s="95" t="str">
        <x:v>Stroke Inpatients</x:v>
      </x:c>
      <x:c r="E220" s="95" t="str">
        <x:v>L05</x:v>
      </x:c>
      <x:c r="F220" s="95" t="str">
        <x:v>Collection</x:v>
      </x:c>
      <x:c r="G220" s="95" t="str">
        <x:v>return</x:v>
      </x:c>
      <x:c r="H220" s="98" t="n">
        <x:v>46028.691087962965</x:v>
      </x:c>
      <x:c r="I220" s="98" t="n">
        <x:v>46028.69131944444</x:v>
      </x:c>
      <x:c r="J220" s="95" t="str">
        <x:v>Tue</x:v>
      </x:c>
      <x:c r="K220" s="95" t="n">
        <x:v>1</x:v>
      </x:c>
      <x:c r="L220" s="95" t="str">
        <x:v>Completed</x:v>
      </x:c>
      <x:c r="M220" s="95" t="str">
        <x:v>Goods Cage</x:v>
      </x:c>
      <x:c r="N220" s="95" t="str">
        <x:v>D41-DROP-ZONE</x:v>
      </x:c>
      <x:c r="O220" s="95" t="str">
        <x:v>D49-STORES</x:v>
      </x:c>
      <x:c r="P220" s="95" t="str">
        <x:v>D49-STORES</x:v>
      </x:c>
      <x:c r="Q220" s="95" t="str">
        <x:v>AMR pickup completed</x:v>
      </x:c>
      <x:c r="R220" s="98" t="n">
        <x:v>46028.69131944444</x:v>
      </x:c>
      <x:c r="S220" s="95" t="str">
        <x:v>Generated delayed return for GEN_STORES_D42_01571</x:v>
      </x:c>
    </x:row>
    <x:row r="221" ht="42" customHeight="1">
      <x:c r="A221" s="95" t="str">
        <x:v>RETURN-GEN_STORES_D42_01572-1569</x:v>
      </x:c>
      <x:c r="B221" s="95" t="str">
        <x:v>GEN_STORES_D42_01572</x:v>
      </x:c>
      <x:c r="C221" s="95" t="str">
        <x:v>D42</x:v>
      </x:c>
      <x:c r="D221" s="95" t="str">
        <x:v>Stroke Inpatients</x:v>
      </x:c>
      <x:c r="E221" s="95" t="str">
        <x:v>L05</x:v>
      </x:c>
      <x:c r="F221" s="95" t="str">
        <x:v>Collection</x:v>
      </x:c>
      <x:c r="G221" s="95" t="str">
        <x:v>return</x:v>
      </x:c>
      <x:c r="H221" s="98" t="n">
        <x:v>46028.70150462963</x:v>
      </x:c>
      <x:c r="I221" s="98" t="n">
        <x:v>46028.701736111114</x:v>
      </x:c>
      <x:c r="J221" s="95" t="str">
        <x:v>Tue</x:v>
      </x:c>
      <x:c r="K221" s="95" t="n">
        <x:v>1</x:v>
      </x:c>
      <x:c r="L221" s="95" t="str">
        <x:v>Completed</x:v>
      </x:c>
      <x:c r="M221" s="95" t="str">
        <x:v>Goods Cage</x:v>
      </x:c>
      <x:c r="N221" s="95" t="str">
        <x:v>D41-DROP-ZONE</x:v>
      </x:c>
      <x:c r="O221" s="95" t="str">
        <x:v>D49-STORES</x:v>
      </x:c>
      <x:c r="P221" s="95" t="str">
        <x:v>D49-STORES</x:v>
      </x:c>
      <x:c r="Q221" s="95" t="str">
        <x:v>AMR pickup completed</x:v>
      </x:c>
      <x:c r="R221" s="98" t="n">
        <x:v>46028.701736111114</x:v>
      </x:c>
      <x:c r="S221" s="95" t="str">
        <x:v>Generated delayed return for GEN_STORES_D42_01572</x:v>
      </x:c>
    </x:row>
    <x:row r="222" ht="42" customHeight="1">
      <x:c r="A222" s="95" t="str">
        <x:v>RETURN-GEN_STORES_D43_01891-1775</x:v>
      </x:c>
      <x:c r="B222" s="95" t="str">
        <x:v>GEN_STORES_D43_01891</x:v>
      </x:c>
      <x:c r="C222" s="95" t="str">
        <x:v>D43</x:v>
      </x:c>
      <x:c r="D222" s="95" t="str">
        <x:v>Adult Inpatients 9</x:v>
      </x:c>
      <x:c r="E222" s="95" t="str">
        <x:v>L05</x:v>
      </x:c>
      <x:c r="F222" s="95" t="str">
        <x:v>Collection</x:v>
      </x:c>
      <x:c r="G222" s="95" t="str">
        <x:v>return</x:v>
      </x:c>
      <x:c r="H222" s="98" t="n">
        <x:v>46029.577002314814</x:v>
      </x:c>
      <x:c r="I222" s="98" t="n">
        <x:v>46029.8165625</x:v>
      </x:c>
      <x:c r="J222" s="95" t="str">
        <x:v>Wed</x:v>
      </x:c>
      <x:c r="K222" s="95" t="n">
        <x:v>1</x:v>
      </x:c>
      <x:c r="L222" s="95" t="str">
        <x:v>Completed</x:v>
      </x:c>
      <x:c r="M222" s="95" t="str">
        <x:v>Goods Cage</x:v>
      </x:c>
      <x:c r="N222" s="95" t="str">
        <x:v>D43-DROP-ZONE</x:v>
      </x:c>
      <x:c r="O222" s="95" t="str">
        <x:v>D49-STORES</x:v>
      </x:c>
      <x:c r="P222" s="95" t="str">
        <x:v>D49-STORES</x:v>
      </x:c>
      <x:c r="Q222" s="95" t="str">
        <x:v>AMR pickup completed</x:v>
      </x:c>
      <x:c r="R222" s="98" t="n">
        <x:v>46029.8165625</x:v>
      </x:c>
      <x:c r="S222" s="95" t="str">
        <x:v>Generated delayed return for GEN_STORES_D43_01891</x:v>
      </x:c>
    </x:row>
    <x:row r="223" ht="42" customHeight="1">
      <x:c r="A223" s="95" t="str">
        <x:v>RETURN-GEN_STORES_D43_01892-1793</x:v>
      </x:c>
      <x:c r="B223" s="95" t="str">
        <x:v>GEN_STORES_D43_01892</x:v>
      </x:c>
      <x:c r="C223" s="95" t="str">
        <x:v>D43</x:v>
      </x:c>
      <x:c r="D223" s="95" t="str">
        <x:v>Adult Inpatients 9</x:v>
      </x:c>
      <x:c r="E223" s="95" t="str">
        <x:v>L05</x:v>
      </x:c>
      <x:c r="F223" s="95" t="str">
        <x:v>Collection</x:v>
      </x:c>
      <x:c r="G223" s="95" t="str">
        <x:v>return</x:v>
      </x:c>
      <x:c r="H223" s="98" t="n">
        <x:v>46029.59748842593</x:v>
      </x:c>
      <x:c r="I223" s="98" t="n">
        <x:v>46029.81957175926</x:v>
      </x:c>
      <x:c r="J223" s="95" t="str">
        <x:v>Wed</x:v>
      </x:c>
      <x:c r="K223" s="95" t="n">
        <x:v>1</x:v>
      </x:c>
      <x:c r="L223" s="95" t="str">
        <x:v>Completed</x:v>
      </x:c>
      <x:c r="M223" s="95" t="str">
        <x:v>Goods Cage</x:v>
      </x:c>
      <x:c r="N223" s="95" t="str">
        <x:v>D43-DROP-ZONE</x:v>
      </x:c>
      <x:c r="O223" s="95" t="str">
        <x:v>D49-STORES</x:v>
      </x:c>
      <x:c r="P223" s="95" t="str">
        <x:v>D49-STORES</x:v>
      </x:c>
      <x:c r="Q223" s="95" t="str">
        <x:v>AMR pickup completed</x:v>
      </x:c>
      <x:c r="R223" s="98" t="n">
        <x:v>46029.81957175926</x:v>
      </x:c>
      <x:c r="S223" s="95" t="str">
        <x:v>Generated delayed return for GEN_STORES_D43_01892</x:v>
      </x:c>
    </x:row>
    <x:row r="224" ht="42" customHeight="1">
      <x:c r="A224" s="95" t="str">
        <x:v>RETURN-GEN_STORES_D43_01894-1794</x:v>
      </x:c>
      <x:c r="B224" s="95" t="str">
        <x:v>GEN_STORES_D43_01894</x:v>
      </x:c>
      <x:c r="C224" s="95" t="str">
        <x:v>D43</x:v>
      </x:c>
      <x:c r="D224" s="95" t="str">
        <x:v>Adult Inpatients 9</x:v>
      </x:c>
      <x:c r="E224" s="95" t="str">
        <x:v>L05</x:v>
      </x:c>
      <x:c r="F224" s="95" t="str">
        <x:v>Collection</x:v>
      </x:c>
      <x:c r="G224" s="95" t="str">
        <x:v>return</x:v>
      </x:c>
      <x:c r="H224" s="98" t="n">
        <x:v>46029.63412037037</x:v>
      </x:c>
      <x:c r="I224" s="98" t="n">
        <x:v>46029.65576388889</x:v>
      </x:c>
      <x:c r="J224" s="95" t="str">
        <x:v>Wed</x:v>
      </x:c>
      <x:c r="K224" s="95" t="n">
        <x:v>1</x:v>
      </x:c>
      <x:c r="L224" s="95" t="str">
        <x:v>Completed</x:v>
      </x:c>
      <x:c r="M224" s="95" t="str">
        <x:v>Goods Cage</x:v>
      </x:c>
      <x:c r="N224" s="95" t="str">
        <x:v>D43-DROP-ZONE</x:v>
      </x:c>
      <x:c r="O224" s="95" t="str">
        <x:v>D49-STORES</x:v>
      </x:c>
      <x:c r="P224" s="95" t="str">
        <x:v>D49-STORES</x:v>
      </x:c>
      <x:c r="Q224" s="95" t="str">
        <x:v>AMR pickup completed</x:v>
      </x:c>
      <x:c r="R224" s="98" t="n">
        <x:v>46029.65576388889</x:v>
      </x:c>
      <x:c r="S224" s="95" t="str">
        <x:v>Generated delayed return for GEN_STORES_D43_01894</x:v>
      </x:c>
    </x:row>
    <x:row r="225" ht="42" customHeight="1">
      <x:c r="A225" s="95" t="str">
        <x:v>RETURN-GEN_STORES_D44_01190-1261</x:v>
      </x:c>
      <x:c r="B225" s="95" t="str">
        <x:v>GEN_STORES_D44_01190</x:v>
      </x:c>
      <x:c r="C225" s="95" t="str">
        <x:v>D44</x:v>
      </x:c>
      <x:c r="D225" s="95" t="str">
        <x:v>OPD3</x:v>
      </x:c>
      <x:c r="E225" s="95" t="str">
        <x:v>L00</x:v>
      </x:c>
      <x:c r="F225" s="95" t="str">
        <x:v>Collection</x:v>
      </x:c>
      <x:c r="G225" s="95" t="str">
        <x:v>return</x:v>
      </x:c>
      <x:c r="H225" s="98" t="n">
        <x:v>46027.682916666665</x:v>
      </x:c>
      <x:c r="I225" s="98" t="n">
        <x:v>46027.685902777775</x:v>
      </x:c>
      <x:c r="J225" s="95" t="str">
        <x:v>Mon</x:v>
      </x:c>
      <x:c r="K225" s="95" t="n">
        <x:v>1</x:v>
      </x:c>
      <x:c r="L225" s="95" t="str">
        <x:v>Completed</x:v>
      </x:c>
      <x:c r="M225" s="95" t="str">
        <x:v>Goods Cage</x:v>
      </x:c>
      <x:c r="N225" s="95" t="str">
        <x:v>D44-STORES</x:v>
      </x:c>
      <x:c r="O225" s="95" t="str">
        <x:v>D49-STORES</x:v>
      </x:c>
      <x:c r="P225" s="95" t="str">
        <x:v>D49-STORES</x:v>
      </x:c>
      <x:c r="Q225" s="95" t="str">
        <x:v>AMR pickup completed</x:v>
      </x:c>
      <x:c r="R225" s="98" t="n">
        <x:v>46027.685902777775</x:v>
      </x:c>
      <x:c r="S225" s="95" t="str">
        <x:v>Generated delayed return for GEN_STORES_D44_01190</x:v>
      </x:c>
    </x:row>
    <x:row r="226" ht="42" customHeight="1">
      <x:c r="A226" s="95" t="str">
        <x:v>RETURN-GEN_STORES_D44_01194-1262</x:v>
      </x:c>
      <x:c r="B226" s="95" t="str">
        <x:v>GEN_STORES_D44_01194</x:v>
      </x:c>
      <x:c r="C226" s="95" t="str">
        <x:v>D44</x:v>
      </x:c>
      <x:c r="D226" s="95" t="str">
        <x:v>OPD3</x:v>
      </x:c>
      <x:c r="E226" s="95" t="str">
        <x:v>L00</x:v>
      </x:c>
      <x:c r="F226" s="95" t="str">
        <x:v>Collection</x:v>
      </x:c>
      <x:c r="G226" s="95" t="str">
        <x:v>return</x:v>
      </x:c>
      <x:c r="H226" s="98" t="n">
        <x:v>46027.683657407404</x:v>
      </x:c>
      <x:c r="I226" s="98" t="n">
        <x:v>46027.685532407406</x:v>
      </x:c>
      <x:c r="J226" s="95" t="str">
        <x:v>Mon</x:v>
      </x:c>
      <x:c r="K226" s="95" t="n">
        <x:v>1</x:v>
      </x:c>
      <x:c r="L226" s="95" t="str">
        <x:v>Completed</x:v>
      </x:c>
      <x:c r="M226" s="95" t="str">
        <x:v>Goods Cage</x:v>
      </x:c>
      <x:c r="N226" s="95" t="str">
        <x:v>D44-STORES</x:v>
      </x:c>
      <x:c r="O226" s="95" t="str">
        <x:v>D49-STORES</x:v>
      </x:c>
      <x:c r="P226" s="95" t="str">
        <x:v>D49-STORES</x:v>
      </x:c>
      <x:c r="Q226" s="95" t="str">
        <x:v>AMR pickup completed</x:v>
      </x:c>
      <x:c r="R226" s="98" t="n">
        <x:v>46027.685532407406</x:v>
      </x:c>
      <x:c r="S226" s="95" t="str">
        <x:v>Generated delayed return for GEN_STORES_D44_01194</x:v>
      </x:c>
    </x:row>
    <x:row r="227" ht="42" customHeight="1">
      <x:c r="A227" s="95" t="str">
        <x:v>RETURN-GEN_STORES_D44_01196-1264</x:v>
      </x:c>
      <x:c r="B227" s="95" t="str">
        <x:v>GEN_STORES_D44_01196</x:v>
      </x:c>
      <x:c r="C227" s="95" t="str">
        <x:v>D44</x:v>
      </x:c>
      <x:c r="D227" s="95" t="str">
        <x:v>OPD3</x:v>
      </x:c>
      <x:c r="E227" s="95" t="str">
        <x:v>L00</x:v>
      </x:c>
      <x:c r="F227" s="95" t="str">
        <x:v>Collection</x:v>
      </x:c>
      <x:c r="G227" s="95" t="str">
        <x:v>return</x:v>
      </x:c>
      <x:c r="H227" s="98" t="n">
        <x:v>46027.68444444444</x:v>
      </x:c>
      <x:c r="I227" s="98" t="n">
        <x:v>46027.686574074076</x:v>
      </x:c>
      <x:c r="J227" s="95" t="str">
        <x:v>Mon</x:v>
      </x:c>
      <x:c r="K227" s="95" t="n">
        <x:v>1</x:v>
      </x:c>
      <x:c r="L227" s="95" t="str">
        <x:v>Completed</x:v>
      </x:c>
      <x:c r="M227" s="95" t="str">
        <x:v>Goods Cage</x:v>
      </x:c>
      <x:c r="N227" s="95" t="str">
        <x:v>D44-STORES</x:v>
      </x:c>
      <x:c r="O227" s="95" t="str">
        <x:v>D49-STORES</x:v>
      </x:c>
      <x:c r="P227" s="95" t="str">
        <x:v>D49-STORES</x:v>
      </x:c>
      <x:c r="Q227" s="95" t="str">
        <x:v>AMR pickup completed</x:v>
      </x:c>
      <x:c r="R227" s="98" t="n">
        <x:v>46027.686574074076</x:v>
      </x:c>
      <x:c r="S227" s="95" t="str">
        <x:v>Generated delayed return for GEN_STORES_D44_01196</x:v>
      </x:c>
    </x:row>
    <x:row r="228" ht="42" customHeight="1">
      <x:c r="A228" s="95" t="str">
        <x:v>RETURN-GEN_STORES_D46_01898-1798</x:v>
      </x:c>
      <x:c r="B228" s="95" t="str">
        <x:v>GEN_STORES_D46_01898</x:v>
      </x:c>
      <x:c r="C228" s="95" t="str">
        <x:v>D46</x:v>
      </x:c>
      <x:c r="D228" s="95" t="str">
        <x:v>Surgical Ward</x:v>
      </x:c>
      <x:c r="E228" s="95" t="str">
        <x:v>L01</x:v>
      </x:c>
      <x:c r="F228" s="95" t="str">
        <x:v>Collection</x:v>
      </x:c>
      <x:c r="G228" s="95" t="str">
        <x:v>return</x:v>
      </x:c>
      <x:c r="H228" s="98" t="n">
        <x:v>46029.65017361111</x:v>
      </x:c>
      <x:c r="I228" s="98" t="n">
        <x:v>46029.65576388889</x:v>
      </x:c>
      <x:c r="J228" s="95" t="str">
        <x:v>Wed</x:v>
      </x:c>
      <x:c r="K228" s="95" t="n">
        <x:v>1</x:v>
      </x:c>
      <x:c r="L228" s="95" t="str">
        <x:v>Completed</x:v>
      </x:c>
      <x:c r="M228" s="95" t="str">
        <x:v>Goods Cage</x:v>
      </x:c>
      <x:c r="N228" s="95" t="str">
        <x:v>D21-STORES</x:v>
      </x:c>
      <x:c r="O228" s="95" t="str">
        <x:v>D49-STORES</x:v>
      </x:c>
      <x:c r="P228" s="95" t="str">
        <x:v>D49-STORES</x:v>
      </x:c>
      <x:c r="Q228" s="95" t="str">
        <x:v>AMR pickup completed</x:v>
      </x:c>
      <x:c r="R228" s="98" t="n">
        <x:v>46029.65576388889</x:v>
      </x:c>
      <x:c r="S228" s="95" t="str">
        <x:v>Generated delayed return for GEN_STORES_D46_01898</x:v>
      </x:c>
    </x:row>
    <x:row r="229" ht="42" customHeight="1">
      <x:c r="A229" s="95" t="str">
        <x:v>RETURN-GEN_STORES_D46_01902-1799</x:v>
      </x:c>
      <x:c r="B229" s="95" t="str">
        <x:v>GEN_STORES_D46_01902</x:v>
      </x:c>
      <x:c r="C229" s="95" t="str">
        <x:v>D46</x:v>
      </x:c>
      <x:c r="D229" s="95" t="str">
        <x:v>Surgical Ward</x:v>
      </x:c>
      <x:c r="E229" s="95" t="str">
        <x:v>L01</x:v>
      </x:c>
      <x:c r="F229" s="95" t="str">
        <x:v>Collection</x:v>
      </x:c>
      <x:c r="G229" s="95" t="str">
        <x:v>return</x:v>
      </x:c>
      <x:c r="H229" s="98" t="n">
        <x:v>46029.70178240741</x:v>
      </x:c>
      <x:c r="I229" s="98" t="n">
        <x:v>46029.70353009259</x:v>
      </x:c>
      <x:c r="J229" s="95" t="str">
        <x:v>Wed</x:v>
      </x:c>
      <x:c r="K229" s="95" t="n">
        <x:v>1</x:v>
      </x:c>
      <x:c r="L229" s="95" t="str">
        <x:v>Completed</x:v>
      </x:c>
      <x:c r="M229" s="95" t="str">
        <x:v>Goods Cage</x:v>
      </x:c>
      <x:c r="N229" s="95" t="str">
        <x:v>D21-STORES</x:v>
      </x:c>
      <x:c r="O229" s="95" t="str">
        <x:v>D49-STORES</x:v>
      </x:c>
      <x:c r="P229" s="95" t="str">
        <x:v>D49-STORES</x:v>
      </x:c>
      <x:c r="Q229" s="95" t="str">
        <x:v>AMR pickup completed</x:v>
      </x:c>
      <x:c r="R229" s="98" t="n">
        <x:v>46029.70353009259</x:v>
      </x:c>
      <x:c r="S229" s="95" t="str">
        <x:v>Generated delayed return for GEN_STORES_D46_01902</x:v>
      </x:c>
    </x:row>
    <x:row r="230" ht="42" customHeight="1">
      <x:c r="A230" s="95" t="str">
        <x:v>RETURN-GEN_STORES_D46_01904-1800</x:v>
      </x:c>
      <x:c r="B230" s="95" t="str">
        <x:v>GEN_STORES_D46_01904</x:v>
      </x:c>
      <x:c r="C230" s="95" t="str">
        <x:v>D46</x:v>
      </x:c>
      <x:c r="D230" s="95" t="str">
        <x:v>Surgical Ward</x:v>
      </x:c>
      <x:c r="E230" s="95" t="str">
        <x:v>L01</x:v>
      </x:c>
      <x:c r="F230" s="95" t="str">
        <x:v>Collection</x:v>
      </x:c>
      <x:c r="G230" s="95" t="str">
        <x:v>return</x:v>
      </x:c>
      <x:c r="H230" s="98" t="n">
        <x:v>46029.70244212963</x:v>
      </x:c>
      <x:c r="I230" s="98" t="n">
        <x:v>46029.706145833334</x:v>
      </x:c>
      <x:c r="J230" s="95" t="str">
        <x:v>Wed</x:v>
      </x:c>
      <x:c r="K230" s="95" t="n">
        <x:v>1</x:v>
      </x:c>
      <x:c r="L230" s="95" t="str">
        <x:v>Completed</x:v>
      </x:c>
      <x:c r="M230" s="95" t="str">
        <x:v>Goods Cage</x:v>
      </x:c>
      <x:c r="N230" s="95" t="str">
        <x:v>D21-STORES</x:v>
      </x:c>
      <x:c r="O230" s="95" t="str">
        <x:v>D49-STORES</x:v>
      </x:c>
      <x:c r="P230" s="95" t="str">
        <x:v>D49-STORES</x:v>
      </x:c>
      <x:c r="Q230" s="95" t="str">
        <x:v>AMR pickup completed</x:v>
      </x:c>
      <x:c r="R230" s="98" t="n">
        <x:v>46029.706145833334</x:v>
      </x:c>
      <x:c r="S230" s="95" t="str">
        <x:v>Generated delayed return for GEN_STORES_D46_01904</x:v>
      </x:c>
    </x:row>
    <x:row r="231" ht="42" customHeight="1">
      <x:c r="A231" s="95" t="str">
        <x:v>RETURN-GEN_STORES_D4_01197-1281</x:v>
      </x:c>
      <x:c r="B231" s="95" t="str">
        <x:v>GEN_STORES_D4_01197</x:v>
      </x:c>
      <x:c r="C231" s="95" t="str">
        <x:v>D4</x:v>
      </x:c>
      <x:c r="D231" s="95" t="str">
        <x:v>OPD1</x:v>
      </x:c>
      <x:c r="E231" s="95" t="str">
        <x:v>L00</x:v>
      </x:c>
      <x:c r="F231" s="95" t="str">
        <x:v>Collection</x:v>
      </x:c>
      <x:c r="G231" s="95" t="str">
        <x:v>return</x:v>
      </x:c>
      <x:c r="H231" s="98" t="n">
        <x:v>46027.65930555556</x:v>
      </x:c>
      <x:c r="I231" s="98" t="n">
        <x:v>46027.66144675926</x:v>
      </x:c>
      <x:c r="J231" s="95" t="str">
        <x:v>Mon</x:v>
      </x:c>
      <x:c r="K231" s="95" t="n">
        <x:v>1</x:v>
      </x:c>
      <x:c r="L231" s="95" t="str">
        <x:v>Completed</x:v>
      </x:c>
      <x:c r="M231" s="95" t="str">
        <x:v>Goods Cage</x:v>
      </x:c>
      <x:c r="N231" s="95" t="str">
        <x:v>D4-STORES</x:v>
      </x:c>
      <x:c r="O231" s="95" t="str">
        <x:v>D49-STORES</x:v>
      </x:c>
      <x:c r="P231" s="95" t="str">
        <x:v>D49-STORES</x:v>
      </x:c>
      <x:c r="Q231" s="95" t="str">
        <x:v>AMR pickup completed</x:v>
      </x:c>
      <x:c r="R231" s="98" t="n">
        <x:v>46027.66144675926</x:v>
      </x:c>
      <x:c r="S231" s="95" t="str">
        <x:v>Generated delayed return for GEN_STORES_D4_01197</x:v>
      </x:c>
    </x:row>
    <x:row r="232" ht="42" customHeight="1">
      <x:c r="A232" s="95" t="str">
        <x:v>RETURN-GEN_STORES_D4_01198-1282</x:v>
      </x:c>
      <x:c r="B232" s="95" t="str">
        <x:v>GEN_STORES_D4_01198</x:v>
      </x:c>
      <x:c r="C232" s="95" t="str">
        <x:v>D4</x:v>
      </x:c>
      <x:c r="D232" s="95" t="str">
        <x:v>OPD1</x:v>
      </x:c>
      <x:c r="E232" s="95" t="str">
        <x:v>L00</x:v>
      </x:c>
      <x:c r="F232" s="95" t="str">
        <x:v>Collection</x:v>
      </x:c>
      <x:c r="G232" s="95" t="str">
        <x:v>return</x:v>
      </x:c>
      <x:c r="H232" s="98" t="n">
        <x:v>46027.66068287037</x:v>
      </x:c>
      <x:c r="I232" s="98" t="n">
        <x:v>46027.662256944444</x:v>
      </x:c>
      <x:c r="J232" s="95" t="str">
        <x:v>Mon</x:v>
      </x:c>
      <x:c r="K232" s="95" t="n">
        <x:v>1</x:v>
      </x:c>
      <x:c r="L232" s="95" t="str">
        <x:v>Completed</x:v>
      </x:c>
      <x:c r="M232" s="95" t="str">
        <x:v>Goods Cage</x:v>
      </x:c>
      <x:c r="N232" s="95" t="str">
        <x:v>D4-STORES</x:v>
      </x:c>
      <x:c r="O232" s="95" t="str">
        <x:v>D49-STORES</x:v>
      </x:c>
      <x:c r="P232" s="95" t="str">
        <x:v>D49-STORES</x:v>
      </x:c>
      <x:c r="Q232" s="95" t="str">
        <x:v>AMR pickup completed</x:v>
      </x:c>
      <x:c r="R232" s="98" t="n">
        <x:v>46027.662256944444</x:v>
      </x:c>
      <x:c r="S232" s="95" t="str">
        <x:v>Generated delayed return for GEN_STORES_D4_01198</x:v>
      </x:c>
    </x:row>
    <x:row r="233" ht="42" customHeight="1">
      <x:c r="A233" s="95" t="str">
        <x:v>RETURN-GEN_STORES_D4_01199-1290</x:v>
      </x:c>
      <x:c r="B233" s="95" t="str">
        <x:v>GEN_STORES_D4_01199</x:v>
      </x:c>
      <x:c r="C233" s="95" t="str">
        <x:v>D4</x:v>
      </x:c>
      <x:c r="D233" s="95" t="str">
        <x:v>OPD1</x:v>
      </x:c>
      <x:c r="E233" s="95" t="str">
        <x:v>L00</x:v>
      </x:c>
      <x:c r="F233" s="95" t="str">
        <x:v>Collection</x:v>
      </x:c>
      <x:c r="G233" s="95" t="str">
        <x:v>return</x:v>
      </x:c>
      <x:c r="H233" s="98" t="n">
        <x:v>46027.66979166667</x:v>
      </x:c>
      <x:c r="I233" s="98" t="n">
        <x:v>46027.67244212963</x:v>
      </x:c>
      <x:c r="J233" s="95" t="str">
        <x:v>Mon</x:v>
      </x:c>
      <x:c r="K233" s="95" t="n">
        <x:v>1</x:v>
      </x:c>
      <x:c r="L233" s="95" t="str">
        <x:v>Completed</x:v>
      </x:c>
      <x:c r="M233" s="95" t="str">
        <x:v>Goods Cage</x:v>
      </x:c>
      <x:c r="N233" s="95" t="str">
        <x:v>D4-STORES</x:v>
      </x:c>
      <x:c r="O233" s="95" t="str">
        <x:v>D49-STORES</x:v>
      </x:c>
      <x:c r="P233" s="95" t="str">
        <x:v>D49-STORES</x:v>
      </x:c>
      <x:c r="Q233" s="95" t="str">
        <x:v>AMR pickup completed</x:v>
      </x:c>
      <x:c r="R233" s="98" t="n">
        <x:v>46027.67244212963</x:v>
      </x:c>
      <x:c r="S233" s="95" t="str">
        <x:v>Generated delayed return for GEN_STORES_D4_01199</x:v>
      </x:c>
    </x:row>
  </x:sheetData>
  <x:mergeCells>
    <x:mergeCell ref="A2:S2"/>
    <x:mergeCell ref="A3:S4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ffdfc6d6f942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t="str">
        <x:v>Weekday</x:v>
      </x:c>
      <x:c r="B1" t="str">
        <x:v>Deliveries</x:v>
      </x:c>
      <x:c r="C1" t="str">
        <x:v>Collections</x:v>
      </x:c>
      <x:c r="D1" t="str">
        <x:v>Coverage hours</x:v>
      </x:c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>
      <x:c r="A2" t="str">
        <x:v>Mon</x:v>
      </x:c>
      <x:c r="B2" t="n">
        <x:f>COUNTIFS('Data &amp; Targets'!$F$6:$F$233,"Delivery",'Data &amp; Targets'!$J$6:$J$233,A2,'Data &amp; Targets'!$K$6:$K$233,1)</x:f>
        <x:v>33</x:v>
      </x:c>
      <x:c r="C2" t="n">
        <x:f>COUNTIFS('Data &amp; Targets'!$F$6:$F$233,"Collection",'Data &amp; Targets'!$J$6:$J$233,A2,'Data &amp; Targets'!$K$6:$K$233,1)</x:f>
        <x:v>33</x:v>
      </x:c>
      <x:c r="D2" t="n">
        <x:v>24</x:v>
      </x:c>
      <x:c r="E2">
        <x:f t="shared" ref="E2:E7" si="0">"Higher"</x:f>
      </x:c>
      <x:c r="F2">
        <x:f t="shared" ref="F2:F9" si="1">IF(E2="Higher",IF(B2&gt;=C2,"Favorable",IF(B2&gt;=C2*0.95,"Watch","Unfavorable")),IF(B2&lt;=C2,"Favorable",IF(B2&lt;=C2*1.05,"Watch","Unfavorable")))</x:f>
      </x:c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t="str">
        <x:v>Tue</x:v>
      </x:c>
      <x:c r="B3" t="n">
        <x:f>COUNTIFS('Data &amp; Targets'!$F$6:$F$233,"Delivery",'Data &amp; Targets'!$J$6:$J$233,A3,'Data &amp; Targets'!$K$6:$K$233,1)</x:f>
        <x:v>30</x:v>
      </x:c>
      <x:c r="C3" t="n">
        <x:f>COUNTIFS('Data &amp; Targets'!$F$6:$F$233,"Collection",'Data &amp; Targets'!$J$6:$J$233,A3,'Data &amp; Targets'!$K$6:$K$233,1)</x:f>
        <x:v>30</x:v>
      </x:c>
      <x:c r="D3" t="n">
        <x:v>24</x:v>
      </x:c>
      <x:c r="E3">
        <x:f t="shared" si="0"/>
      </x:c>
      <x:c r="F3">
        <x:f t="shared" si="1"/>
      </x:c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 t="str">
        <x:v>Wed</x:v>
      </x:c>
      <x:c r="B4" t="n">
        <x:f>COUNTIFS('Data &amp; Targets'!$F$6:$F$233,"Delivery",'Data &amp; Targets'!$J$6:$J$233,A4,'Data &amp; Targets'!$K$6:$K$233,1)</x:f>
        <x:v>18</x:v>
      </x:c>
      <x:c r="C4" t="n">
        <x:f>COUNTIFS('Data &amp; Targets'!$F$6:$F$233,"Collection",'Data &amp; Targets'!$J$6:$J$233,A4,'Data &amp; Targets'!$K$6:$K$233,1)</x:f>
        <x:v>18</x:v>
      </x:c>
      <x:c r="D4" t="n">
        <x:v>24</x:v>
      </x:c>
      <x:c r="E4">
        <x:f t="shared" si="0"/>
      </x:c>
      <x:c r="F4">
        <x:f t="shared" si="1"/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  <x:row r="5">
      <x:c r="A5" t="str">
        <x:v>Thu</x:v>
      </x:c>
      <x:c r="B5" t="n">
        <x:f>COUNTIFS('Data &amp; Targets'!$F$6:$F$233,"Delivery",'Data &amp; Targets'!$J$6:$J$233,A5,'Data &amp; Targets'!$K$6:$K$233,1)</x:f>
        <x:v>12</x:v>
      </x:c>
      <x:c r="C5" t="n">
        <x:f>COUNTIFS('Data &amp; Targets'!$F$6:$F$233,"Collection",'Data &amp; Targets'!$J$6:$J$233,A5,'Data &amp; Targets'!$K$6:$K$233,1)</x:f>
        <x:v>12</x:v>
      </x:c>
      <x:c r="D5" t="n">
        <x:v>24</x:v>
      </x:c>
      <x:c r="E5">
        <x:f t="shared" si="0"/>
      </x:c>
      <x:c r="F5">
        <x:f t="shared" si="1"/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</x:row>
    <x:row r="6">
      <x:c r="A6" t="str">
        <x:v>Fri</x:v>
      </x:c>
      <x:c r="B6" t="n">
        <x:f>COUNTIFS('Data &amp; Targets'!$F$6:$F$233,"Delivery",'Data &amp; Targets'!$J$6:$J$233,A6,'Data &amp; Targets'!$K$6:$K$233,1)</x:f>
        <x:v>21</x:v>
      </x:c>
      <x:c r="C6" t="n">
        <x:f>COUNTIFS('Data &amp; Targets'!$F$6:$F$233,"Collection",'Data &amp; Targets'!$J$6:$J$233,A6,'Data &amp; Targets'!$K$6:$K$233,1)</x:f>
        <x:v>21</x:v>
      </x:c>
      <x:c r="D6" t="n">
        <x:v>24</x:v>
      </x:c>
      <x:c r="E6">
        <x:f t="shared" si="0"/>
      </x:c>
      <x:c r="F6">
        <x:f t="shared" si="1"/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 t="str">
        <x:v>Sat</x:v>
      </x:c>
      <x:c r="B7" t="n">
        <x:f>COUNTIFS('Data &amp; Targets'!$F$6:$F$233,"Delivery",'Data &amp; Targets'!$J$6:$J$233,A7,'Data &amp; Targets'!$K$6:$K$233,1)</x:f>
        <x:v>0</x:v>
      </x:c>
      <x:c r="C7" t="n">
        <x:f>COUNTIFS('Data &amp; Targets'!$F$6:$F$233,"Collection",'Data &amp; Targets'!$J$6:$J$233,A7,'Data &amp; Targets'!$K$6:$K$233,1)</x:f>
        <x:v>0</x:v>
      </x:c>
      <x:c r="D7" t="n">
        <x:v>24</x:v>
      </x:c>
      <x:c r="E7">
        <x:f t="shared" si="0"/>
      </x:c>
      <x:c r="F7">
        <x:f t="shared" si="1"/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</x:row>
    <x:row r="8">
      <x:c r="A8" t="str">
        <x:v>Sun</x:v>
      </x:c>
      <x:c r="B8" t="n">
        <x:f>COUNTIFS('Data &amp; Targets'!$F$6:$F$233,"Delivery",'Data &amp; Targets'!$J$6:$J$233,A8,'Data &amp; Targets'!$K$6:$K$233,1)</x:f>
        <x:v>0</x:v>
      </x:c>
      <x:c r="C8" t="n">
        <x:f>COUNTIFS('Data &amp; Targets'!$F$6:$F$233,"Collection",'Data &amp; Targets'!$J$6:$J$233,A8,'Data &amp; Targets'!$K$6:$K$233,1)</x:f>
        <x:v>0</x:v>
      </x:c>
      <x:c r="D8" t="n">
        <x:v>24</x:v>
      </x:c>
      <x:c r="E8"/>
      <x:c r="F8">
        <x:f t="shared" si="1"/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</x:row>
    <x:row r="9">
      <x:c r="A9"/>
      <x:c r="B9"/>
      <x:c r="C9"/>
      <x:c r="D9"/>
      <x:c r="E9"/>
      <x:c r="F9">
        <x:f t="shared" si="1"/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10" hidden="0" customWidth="1"/>
    <x:col min="4" max="4" width="12" hidden="0" customWidth="1"/>
    <x:col min="5" max="5" width="17" hidden="0" customWidth="1"/>
    <x:col min="6" max="6" width="20" hidden="0" customWidth="1"/>
    <x:col min="7" max="7" width="38" hidden="0" customWidth="1"/>
    <x:col min="8" max="8" width="10" hidden="0" customWidth="1"/>
    <x:col min="9" max="9" width="57" hidden="0" customWidth="1"/>
    <x:col min="10" max="10" width="43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90" t="str">
        <x:v>Stores | Configured departments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 ht="23" customHeight="1">
      <x:c r="A3" s="91" t="str">
        <x:v>All departments in the supplied configuration. Category scope includes enabled rules or observed tasks. Category locations may also identify source departments.</x:v>
      </x:c>
      <x:c r="B3" s="91"/>
      <x:c r="C3" s="91"/>
      <x:c r="D3" s="91"/>
      <x:c r="E3" s="91"/>
      <x:c r="F3" s="91"/>
      <x:c r="G3" s="91"/>
      <x:c r="H3" s="91"/>
      <x:c r="I3" s="91"/>
      <x:c r="J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</x:row>
    <x:row r="5" ht="32" customHeight="1">
      <x:c r="A5" s="97" t="str">
        <x:v>Department ID</x:v>
      </x:c>
      <x:c r="B5" s="97" t="str">
        <x:v>Department</x:v>
      </x:c>
      <x:c r="C5" s="97" t="str">
        <x:v>Level</x:v>
      </x:c>
      <x:c r="D5" s="97" t="str">
        <x:v>Enabled</x:v>
      </x:c>
      <x:c r="E5" s="97" t="str">
        <x:v>Category scope</x:v>
      </x:c>
      <x:c r="F5" s="97" t="str">
        <x:v>Operating hours</x:v>
      </x:c>
      <x:c r="G5" s="97" t="str">
        <x:v>Active days</x:v>
      </x:c>
      <x:c r="H5" s="97" t="str">
        <x:v>Beds</x:v>
      </x:c>
      <x:c r="I5" s="97" t="str">
        <x:v>Category locations</x:v>
      </x:c>
      <x:c r="J5" s="97" t="str">
        <x:v>Shared AMR zones</x:v>
      </x:c>
    </x:row>
    <x:row r="6" ht="48" customHeight="1">
      <x:c r="A6" s="95" t="str">
        <x:v>D1</x:v>
      </x:c>
      <x:c r="B6" s="95" t="str">
        <x:v>Fraility</x:v>
      </x:c>
      <x:c r="C6" s="95" t="str">
        <x:v>L00</x:v>
      </x:c>
      <x:c r="D6" s="95" t="str">
        <x:v>Yes</x:v>
      </x:c>
      <x:c r="E6" s="95" t="str">
        <x:v>Yes</x:v>
      </x:c>
      <x:c r="F6" s="95" t="str">
        <x:v>00:00-24:00</x:v>
      </x:c>
      <x:c r="G6" s="95" t="str">
        <x:v>mon, tue, wed, thu, fri, sat, sun</x:v>
      </x:c>
      <x:c r="H6" s="95" t="n">
        <x:v>32</x:v>
      </x:c>
      <x:c r="I6" s="95" t="str">
        <x:v>D1-STORES</x:v>
      </x:c>
      <x:c r="J6" s="95" t="str">
        <x:v>D3-DROP-ZONE</x:v>
      </x:c>
    </x:row>
    <x:row r="7" ht="48" customHeight="1">
      <x:c r="A7" s="95" t="str">
        <x:v>D2</x:v>
      </x:c>
      <x:c r="B7" s="95" t="str">
        <x:v>SDEC</x:v>
      </x:c>
      <x:c r="C7" s="95" t="str">
        <x:v>L00</x:v>
      </x:c>
      <x:c r="D7" s="95" t="str">
        <x:v>Yes</x:v>
      </x:c>
      <x:c r="E7" s="95" t="str">
        <x:v>Yes</x:v>
      </x:c>
      <x:c r="F7" s="95" t="str">
        <x:v>08:00-18:00</x:v>
      </x:c>
      <x:c r="G7" s="95" t="str">
        <x:v>mon, tue, wed, thu, fri, sat, sun</x:v>
      </x:c>
      <x:c r="H7" s="95" t="n">
        <x:v>0</x:v>
      </x:c>
      <x:c r="I7" s="95" t="str">
        <x:v>D2-STORES</x:v>
      </x:c>
      <x:c r="J7" s="95" t="str">
        <x:v>D3-DROP-ZONE</x:v>
      </x:c>
    </x:row>
    <x:row r="8" ht="48" customHeight="1">
      <x:c r="A8" s="95" t="str">
        <x:v>D3</x:v>
      </x:c>
      <x:c r="B8" s="95" t="str">
        <x:v>Urgent Care</x:v>
      </x:c>
      <x:c r="C8" s="95" t="str">
        <x:v>L00</x:v>
      </x:c>
      <x:c r="D8" s="95" t="str">
        <x:v>Yes</x:v>
      </x:c>
      <x:c r="E8" s="95" t="str">
        <x:v>Yes</x:v>
      </x:c>
      <x:c r="F8" s="95" t="str">
        <x:v>00:00-24:00</x:v>
      </x:c>
      <x:c r="G8" s="95" t="str">
        <x:v>mon, tue, wed, thu, fri, sat, sun</x:v>
      </x:c>
      <x:c r="H8" s="95" t="n">
        <x:v>32</x:v>
      </x:c>
      <x:c r="I8" s="95" t="str">
        <x:v>D3-STORES</x:v>
      </x:c>
      <x:c r="J8" s="95" t="str">
        <x:v>D3-DROP-ZONE</x:v>
      </x:c>
    </x:row>
    <x:row r="9" ht="48" customHeight="1">
      <x:c r="A9" s="95" t="str">
        <x:v>D4</x:v>
      </x:c>
      <x:c r="B9" s="95" t="str">
        <x:v>OPD1</x:v>
      </x:c>
      <x:c r="C9" s="95" t="str">
        <x:v>L00</x:v>
      </x:c>
      <x:c r="D9" s="95" t="str">
        <x:v>Yes</x:v>
      </x:c>
      <x:c r="E9" s="95" t="str">
        <x:v>Yes</x:v>
      </x:c>
      <x:c r="F9" s="95" t="str">
        <x:v>07:00-17:00</x:v>
      </x:c>
      <x:c r="G9" s="95" t="str">
        <x:v>mon, tue, wed, thu, fri</x:v>
      </x:c>
      <x:c r="H9" s="95" t="n">
        <x:v>0</x:v>
      </x:c>
      <x:c r="I9" s="95" t="str">
        <x:v>D4-STORES</x:v>
      </x:c>
      <x:c r="J9" s="95" t="str"/>
    </x:row>
    <x:row r="10" ht="48" customHeight="1">
      <x:c r="A10" s="95" t="str">
        <x:v>D6</x:v>
      </x:c>
      <x:c r="B10" s="95" t="str">
        <x:v>Mortuary</x:v>
      </x:c>
      <x:c r="C10" s="95" t="str">
        <x:v>L00</x:v>
      </x:c>
      <x:c r="D10" s="95" t="str">
        <x:v>Yes</x:v>
      </x:c>
      <x:c r="E10" s="95" t="str">
        <x:v>No</x:v>
      </x:c>
      <x:c r="F10" s="95" t="str">
        <x:v>08:00-16:00</x:v>
      </x:c>
      <x:c r="G10" s="95" t="str">
        <x:v>mon, tue, wed, thu, fri</x:v>
      </x:c>
      <x:c r="H10" s="95" t="n">
        <x:v>0</x:v>
      </x:c>
      <x:c r="I10" s="95" t="str">
        <x:v>D6-STORES</x:v>
      </x:c>
      <x:c r="J10" s="95" t="str"/>
    </x:row>
    <x:row r="11" ht="48" customHeight="1">
      <x:c r="A11" s="95" t="str">
        <x:v>D7</x:v>
      </x:c>
      <x:c r="B11" s="95" t="str">
        <x:v>Pharmacy</x:v>
      </x:c>
      <x:c r="C11" s="95" t="str">
        <x:v>L00</x:v>
      </x:c>
      <x:c r="D11" s="95" t="str">
        <x:v>Yes</x:v>
      </x:c>
      <x:c r="E11" s="95" t="str">
        <x:v>No</x:v>
      </x:c>
      <x:c r="F11" s="95" t="str">
        <x:v>07:00-17:00</x:v>
      </x:c>
      <x:c r="G11" s="95" t="str">
        <x:v>mon, tue, wed, thu, fri</x:v>
      </x:c>
      <x:c r="H11" s="95" t="n">
        <x:v>0</x:v>
      </x:c>
      <x:c r="I11" s="95" t="str">
        <x:v>D7-STORES</x:v>
      </x:c>
      <x:c r="J11" s="95" t="str"/>
    </x:row>
    <x:row r="12" ht="48" customHeight="1">
      <x:c r="A12" s="95" t="str">
        <x:v>D8</x:v>
      </x:c>
      <x:c r="B12" s="95" t="str">
        <x:v>Central Imaging</x:v>
      </x:c>
      <x:c r="C12" s="95" t="str">
        <x:v>L00</x:v>
      </x:c>
      <x:c r="D12" s="95" t="str">
        <x:v>Yes</x:v>
      </x:c>
      <x:c r="E12" s="95" t="str">
        <x:v>Yes</x:v>
      </x:c>
      <x:c r="F12" s="95" t="str">
        <x:v>00:00-24:00</x:v>
      </x:c>
      <x:c r="G12" s="95" t="str">
        <x:v>mon, tue, wed, thu, fri</x:v>
      </x:c>
      <x:c r="H12" s="95" t="n">
        <x:v>0</x:v>
      </x:c>
      <x:c r="I12" s="95" t="str">
        <x:v>D8-STORES</x:v>
      </x:c>
      <x:c r="J12" s="95" t="str"/>
    </x:row>
    <x:row r="13" ht="48" customHeight="1">
      <x:c r="A13" s="95" t="str">
        <x:v>D9</x:v>
      </x:c>
      <x:c r="B13" s="95" t="str">
        <x:v>Resturant</x:v>
      </x:c>
      <x:c r="C13" s="95" t="str">
        <x:v>L00</x:v>
      </x:c>
      <x:c r="D13" s="95" t="str">
        <x:v>Yes</x:v>
      </x:c>
      <x:c r="E13" s="95" t="str">
        <x:v>No</x:v>
      </x:c>
      <x:c r="F13" s="95" t="str">
        <x:v>06:00-20:00</x:v>
      </x:c>
      <x:c r="G13" s="95" t="str">
        <x:v>mon, tue, wed, thu, fri</x:v>
      </x:c>
      <x:c r="H13" s="95" t="n">
        <x:v>0</x:v>
      </x:c>
      <x:c r="I13" s="95" t="str">
        <x:v>D9-STORES</x:v>
      </x:c>
      <x:c r="J13" s="95" t="str"/>
    </x:row>
    <x:row r="14" ht="48" customHeight="1">
      <x:c r="A14" s="95" t="str">
        <x:v>D10</x:v>
      </x:c>
      <x:c r="B14" s="95" t="str">
        <x:v>Minor Injuries</x:v>
      </x:c>
      <x:c r="C14" s="95" t="str">
        <x:v>L00</x:v>
      </x:c>
      <x:c r="D14" s="95" t="str">
        <x:v>Yes</x:v>
      </x:c>
      <x:c r="E14" s="95" t="str">
        <x:v>Yes</x:v>
      </x:c>
      <x:c r="F14" s="95" t="str">
        <x:v>00:00-24:00</x:v>
      </x:c>
      <x:c r="G14" s="95" t="str">
        <x:v>mon, tue, wed, thu, fri, sat, sun</x:v>
      </x:c>
      <x:c r="H14" s="95" t="n">
        <x:v>0</x:v>
      </x:c>
      <x:c r="I14" s="95" t="str">
        <x:v>D10-STORES</x:v>
      </x:c>
      <x:c r="J14" s="95" t="str">
        <x:v>D3-DROP-ZONE</x:v>
      </x:c>
    </x:row>
    <x:row r="15" ht="48" customHeight="1">
      <x:c r="A15" s="95" t="str">
        <x:v>D11</x:v>
      </x:c>
      <x:c r="B15" s="95" t="str">
        <x:v>ED-Resus</x:v>
      </x:c>
      <x:c r="C15" s="95" t="str">
        <x:v>L00</x:v>
      </x:c>
      <x:c r="D15" s="95" t="str">
        <x:v>Yes</x:v>
      </x:c>
      <x:c r="E15" s="95" t="str">
        <x:v>Yes</x:v>
      </x:c>
      <x:c r="F15" s="95" t="str">
        <x:v>00:00-24:00</x:v>
      </x:c>
      <x:c r="G15" s="95" t="str">
        <x:v>mon, tue, wed, thu, fri, sat, sun</x:v>
      </x:c>
      <x:c r="H15" s="95" t="n">
        <x:v>0</x:v>
      </x:c>
      <x:c r="I15" s="95" t="str">
        <x:v>D11-STORES</x:v>
      </x:c>
      <x:c r="J15" s="95" t="str">
        <x:v>D3-DROP-ZONE</x:v>
      </x:c>
    </x:row>
    <x:row r="16" ht="48" customHeight="1">
      <x:c r="A16" s="95" t="str">
        <x:v>D12</x:v>
      </x:c>
      <x:c r="B16" s="95" t="str">
        <x:v>ED-Majors</x:v>
      </x:c>
      <x:c r="C16" s="95" t="str">
        <x:v>L00</x:v>
      </x:c>
      <x:c r="D16" s="95" t="str">
        <x:v>Yes</x:v>
      </x:c>
      <x:c r="E16" s="95" t="str">
        <x:v>Yes</x:v>
      </x:c>
      <x:c r="F16" s="95" t="str">
        <x:v>00:00-24:00</x:v>
      </x:c>
      <x:c r="G16" s="95" t="str">
        <x:v>mon, tue, wed, thu, fri, sat, sun</x:v>
      </x:c>
      <x:c r="H16" s="95" t="n">
        <x:v>0</x:v>
      </x:c>
      <x:c r="I16" s="95" t="str">
        <x:v>D12-STORES</x:v>
      </x:c>
      <x:c r="J16" s="95" t="str">
        <x:v>D3-DROP-ZONE</x:v>
      </x:c>
    </x:row>
    <x:row r="17" ht="48" customHeight="1">
      <x:c r="A17" s="95" t="str">
        <x:v>D13</x:v>
      </x:c>
      <x:c r="B17" s="95" t="str">
        <x:v>ED-Paediatrics</x:v>
      </x:c>
      <x:c r="C17" s="95" t="str">
        <x:v>L00</x:v>
      </x:c>
      <x:c r="D17" s="95" t="str">
        <x:v>Yes</x:v>
      </x:c>
      <x:c r="E17" s="95" t="str">
        <x:v>Yes</x:v>
      </x:c>
      <x:c r="F17" s="95" t="str">
        <x:v>00:00-24:00</x:v>
      </x:c>
      <x:c r="G17" s="95" t="str">
        <x:v>mon, tue, wed, thu, fri, sat, sun</x:v>
      </x:c>
      <x:c r="H17" s="95" t="n">
        <x:v>0</x:v>
      </x:c>
      <x:c r="I17" s="95" t="str">
        <x:v>D13-STORES</x:v>
      </x:c>
      <x:c r="J17" s="95" t="str">
        <x:v>D3-DROP-ZONE</x:v>
      </x:c>
    </x:row>
    <x:row r="18" ht="48" customHeight="1">
      <x:c r="A18" s="95" t="str">
        <x:v>D14</x:v>
      </x:c>
      <x:c r="B18" s="95" t="str">
        <x:v>ED-Imaging</x:v>
      </x:c>
      <x:c r="C18" s="95" t="str">
        <x:v>L00</x:v>
      </x:c>
      <x:c r="D18" s="95" t="str">
        <x:v>Yes</x:v>
      </x:c>
      <x:c r="E18" s="95" t="str">
        <x:v>Yes</x:v>
      </x:c>
      <x:c r="F18" s="95" t="str">
        <x:v>00:00-24:00</x:v>
      </x:c>
      <x:c r="G18" s="95" t="str">
        <x:v>mon, tue, wed, thu, fri, sat, sun</x:v>
      </x:c>
      <x:c r="H18" s="95" t="n">
        <x:v>0</x:v>
      </x:c>
      <x:c r="I18" s="95" t="str">
        <x:v>D12-STORES_2</x:v>
      </x:c>
      <x:c r="J18" s="95" t="str">
        <x:v>D3-DROP-ZONE</x:v>
      </x:c>
    </x:row>
    <x:row r="19" ht="48" customHeight="1">
      <x:c r="A19" s="95" t="str">
        <x:v>D15</x:v>
      </x:c>
      <x:c r="B19" s="95" t="str">
        <x:v>Essential Services Lab</x:v>
      </x:c>
      <x:c r="C19" s="95" t="str">
        <x:v>L00</x:v>
      </x:c>
      <x:c r="D19" s="95" t="str">
        <x:v>Yes</x:v>
      </x:c>
      <x:c r="E19" s="95" t="str">
        <x:v>No</x:v>
      </x:c>
      <x:c r="F19" s="95" t="str">
        <x:v>00:00-24:00</x:v>
      </x:c>
      <x:c r="G19" s="95" t="str">
        <x:v>mon, tue, wed, thu, fri</x:v>
      </x:c>
      <x:c r="H19" s="95" t="n">
        <x:v>0</x:v>
      </x:c>
      <x:c r="I19" s="95" t="str"/>
      <x:c r="J19" s="95" t="str"/>
    </x:row>
    <x:row r="20" ht="48" customHeight="1">
      <x:c r="A20" s="95" t="str">
        <x:v>D16</x:v>
      </x:c>
      <x:c r="B20" s="95" t="str">
        <x:v>Ante-natal</x:v>
      </x:c>
      <x:c r="C20" s="95" t="str">
        <x:v>L01</x:v>
      </x:c>
      <x:c r="D20" s="95" t="str">
        <x:v>Yes</x:v>
      </x:c>
      <x:c r="E20" s="95" t="str">
        <x:v>Yes</x:v>
      </x:c>
      <x:c r="F20" s="95" t="str">
        <x:v>07:00-19:00</x:v>
      </x:c>
      <x:c r="G20" s="95" t="str">
        <x:v>mon, tue, wed, thu, fri, sat, sun</x:v>
      </x:c>
      <x:c r="H20" s="95" t="n">
        <x:v>0</x:v>
      </x:c>
      <x:c r="I20" s="95" t="str">
        <x:v>D19-STORES</x:v>
      </x:c>
      <x:c r="J20" s="95" t="str"/>
    </x:row>
    <x:row r="21" ht="48" customHeight="1">
      <x:c r="A21" s="95" t="str">
        <x:v>D17</x:v>
      </x:c>
      <x:c r="B21" s="95" t="str">
        <x:v>Ambulatory Care</x:v>
      </x:c>
      <x:c r="C21" s="95" t="str">
        <x:v>L01</x:v>
      </x:c>
      <x:c r="D21" s="95" t="str">
        <x:v>Yes</x:v>
      </x:c>
      <x:c r="E21" s="95" t="str">
        <x:v>Yes</x:v>
      </x:c>
      <x:c r="F21" s="95" t="str">
        <x:v>07:00-19:00</x:v>
      </x:c>
      <x:c r="G21" s="95" t="str">
        <x:v>mon, tue, wed, thu, fri, sat, sun</x:v>
      </x:c>
      <x:c r="H21" s="95" t="n">
        <x:v>0</x:v>
      </x:c>
      <x:c r="I21" s="95" t="str">
        <x:v>D19-STORES</x:v>
      </x:c>
      <x:c r="J21" s="95" t="str"/>
    </x:row>
    <x:row r="22" ht="48" customHeight="1">
      <x:c r="A22" s="95" t="str">
        <x:v>D18</x:v>
      </x:c>
      <x:c r="B22" s="95" t="str">
        <x:v>Neonatal</x:v>
      </x:c>
      <x:c r="C22" s="95" t="str">
        <x:v>L01</x:v>
      </x:c>
      <x:c r="D22" s="95" t="str">
        <x:v>Yes</x:v>
      </x:c>
      <x:c r="E22" s="95" t="str">
        <x:v>Yes</x:v>
      </x:c>
      <x:c r="F22" s="95" t="str">
        <x:v>00:00-24:00</x:v>
      </x:c>
      <x:c r="G22" s="95" t="str">
        <x:v>mon, tue, wed, thu, fri, sat, sun</x:v>
      </x:c>
      <x:c r="H22" s="95" t="n">
        <x:v>0</x:v>
      </x:c>
      <x:c r="I22" s="95" t="str">
        <x:v>D19-STORES</x:v>
      </x:c>
      <x:c r="J22" s="95" t="str"/>
    </x:row>
    <x:row r="23" ht="48" customHeight="1">
      <x:c r="A23" s="95" t="str">
        <x:v>D19</x:v>
      </x:c>
      <x:c r="B23" s="95" t="str">
        <x:v>Birthing Suite</x:v>
      </x:c>
      <x:c r="C23" s="95" t="str">
        <x:v>L01</x:v>
      </x:c>
      <x:c r="D23" s="95" t="str">
        <x:v>Yes</x:v>
      </x:c>
      <x:c r="E23" s="95" t="str">
        <x:v>Yes</x:v>
      </x:c>
      <x:c r="F23" s="95" t="str">
        <x:v>00:00-24:00</x:v>
      </x:c>
      <x:c r="G23" s="95" t="str">
        <x:v>mon, tue, wed, thu, fri, sat, sun</x:v>
      </x:c>
      <x:c r="H23" s="95" t="n">
        <x:v>0</x:v>
      </x:c>
      <x:c r="I23" s="95" t="str">
        <x:v>D19-STORES</x:v>
      </x:c>
      <x:c r="J23" s="95" t="str"/>
    </x:row>
    <x:row r="24" ht="48" customHeight="1">
      <x:c r="A24" s="95" t="str">
        <x:v>D20</x:v>
      </x:c>
      <x:c r="B24" s="95" t="str">
        <x:v>Theatres</x:v>
      </x:c>
      <x:c r="C24" s="95" t="str">
        <x:v>L01</x:v>
      </x:c>
      <x:c r="D24" s="95" t="str">
        <x:v>Yes</x:v>
      </x:c>
      <x:c r="E24" s="95" t="str">
        <x:v>Yes</x:v>
      </x:c>
      <x:c r="F24" s="95" t="str">
        <x:v>00:00-24:00</x:v>
      </x:c>
      <x:c r="G24" s="95" t="str">
        <x:v>mon, tue, wed, thu, fri, sat, sun</x:v>
      </x:c>
      <x:c r="H24" s="95" t="n">
        <x:v>0</x:v>
      </x:c>
      <x:c r="I24" s="95" t="str">
        <x:v>D19-STORES</x:v>
      </x:c>
      <x:c r="J24" s="95" t="str"/>
    </x:row>
    <x:row r="25" ht="48" customHeight="1">
      <x:c r="A25" s="95" t="str">
        <x:v>D21</x:v>
      </x:c>
      <x:c r="B25" s="95" t="str">
        <x:v>Intensive Care</x:v>
      </x:c>
      <x:c r="C25" s="95" t="str">
        <x:v>L01</x:v>
      </x:c>
      <x:c r="D25" s="95" t="str">
        <x:v>Yes</x:v>
      </x:c>
      <x:c r="E25" s="95" t="str">
        <x:v>Yes</x:v>
      </x:c>
      <x:c r="F25" s="95" t="str">
        <x:v>00:00-24:00</x:v>
      </x:c>
      <x:c r="G25" s="95" t="str">
        <x:v>mon, tue, wed, thu, fri, sat, sun</x:v>
      </x:c>
      <x:c r="H25" s="95" t="n">
        <x:v>0</x:v>
      </x:c>
      <x:c r="I25" s="95" t="str">
        <x:v>D21-STORES</x:v>
      </x:c>
      <x:c r="J25" s="95" t="str"/>
    </x:row>
    <x:row r="26" ht="48" customHeight="1">
      <x:c r="A26" s="95" t="str">
        <x:v>D22</x:v>
      </x:c>
      <x:c r="B26" s="95" t="str">
        <x:v>Endoscopy</x:v>
      </x:c>
      <x:c r="C26" s="95" t="str">
        <x:v>L01</x:v>
      </x:c>
      <x:c r="D26" s="95" t="str">
        <x:v>Yes</x:v>
      </x:c>
      <x:c r="E26" s="95" t="str">
        <x:v>Yes</x:v>
      </x:c>
      <x:c r="F26" s="95" t="str">
        <x:v>07:00-20:00</x:v>
      </x:c>
      <x:c r="G26" s="95" t="str">
        <x:v>mon, tue, wed, thu, fri, sat</x:v>
      </x:c>
      <x:c r="H26" s="95" t="n">
        <x:v>0</x:v>
      </x:c>
      <x:c r="I26" s="95" t="str">
        <x:v>D22-STORES</x:v>
      </x:c>
      <x:c r="J26" s="95" t="str"/>
    </x:row>
    <x:row r="27" ht="48" customHeight="1">
      <x:c r="A27" s="95" t="str">
        <x:v>D23</x:v>
      </x:c>
      <x:c r="B27" s="95" t="str">
        <x:v>Gynae Outpatients</x:v>
      </x:c>
      <x:c r="C27" s="95" t="str">
        <x:v>L01</x:v>
      </x:c>
      <x:c r="D27" s="95" t="str">
        <x:v>Yes</x:v>
      </x:c>
      <x:c r="E27" s="95" t="str">
        <x:v>Yes</x:v>
      </x:c>
      <x:c r="F27" s="95" t="str">
        <x:v>07:00-19:00</x:v>
      </x:c>
      <x:c r="G27" s="95" t="str">
        <x:v>mon, tue, wed, thu, fri, sat, sun</x:v>
      </x:c>
      <x:c r="H27" s="95" t="n">
        <x:v>0</x:v>
      </x:c>
      <x:c r="I27" s="95" t="str">
        <x:v>D22-STORES</x:v>
      </x:c>
      <x:c r="J27" s="95" t="str"/>
    </x:row>
    <x:row r="28" ht="48" customHeight="1">
      <x:c r="A28" s="95" t="str">
        <x:v>D24</x:v>
      </x:c>
      <x:c r="B28" s="95" t="str">
        <x:v>Urology Outpatients</x:v>
      </x:c>
      <x:c r="C28" s="95" t="str">
        <x:v>L01</x:v>
      </x:c>
      <x:c r="D28" s="95" t="str">
        <x:v>Yes</x:v>
      </x:c>
      <x:c r="E28" s="95" t="str">
        <x:v>Yes</x:v>
      </x:c>
      <x:c r="F28" s="95" t="str">
        <x:v>07:00-19:00</x:v>
      </x:c>
      <x:c r="G28" s="95" t="str">
        <x:v>mon, tue, wed, thu, fri</x:v>
      </x:c>
      <x:c r="H28" s="95" t="n">
        <x:v>0</x:v>
      </x:c>
      <x:c r="I28" s="95" t="str">
        <x:v>D22-STORES</x:v>
      </x:c>
      <x:c r="J28" s="95" t="str"/>
    </x:row>
    <x:row r="29" ht="48" customHeight="1">
      <x:c r="A29" s="95" t="str">
        <x:v>D27</x:v>
      </x:c>
      <x:c r="B29" s="95" t="str">
        <x:v>Minor ops Suite</x:v>
      </x:c>
      <x:c r="C29" s="95" t="str">
        <x:v>L01</x:v>
      </x:c>
      <x:c r="D29" s="95" t="str">
        <x:v>Yes</x:v>
      </x:c>
      <x:c r="E29" s="95" t="str">
        <x:v>Yes</x:v>
      </x:c>
      <x:c r="F29" s="95" t="str">
        <x:v>07:00-19:00</x:v>
      </x:c>
      <x:c r="G29" s="95" t="str">
        <x:v>mon, tue, wed, thu, fri</x:v>
      </x:c>
      <x:c r="H29" s="95" t="n">
        <x:v>0</x:v>
      </x:c>
      <x:c r="I29" s="95" t="str">
        <x:v>D22-STORES</x:v>
      </x:c>
      <x:c r="J29" s="95" t="str"/>
    </x:row>
    <x:row r="30" ht="48" customHeight="1">
      <x:c r="A30" s="95" t="str">
        <x:v>D28</x:v>
      </x:c>
      <x:c r="B30" s="95" t="str">
        <x:v>Catering</x:v>
      </x:c>
      <x:c r="C30" s="95" t="str">
        <x:v>L02</x:v>
      </x:c>
      <x:c r="D30" s="95" t="str">
        <x:v>Yes</x:v>
      </x:c>
      <x:c r="E30" s="95" t="str">
        <x:v>No</x:v>
      </x:c>
      <x:c r="F30" s="95" t="str">
        <x:v>05:00-21:00</x:v>
      </x:c>
      <x:c r="G30" s="95" t="str">
        <x:v>mon, tue, wed, thu, fri, sat, sun</x:v>
      </x:c>
      <x:c r="H30" s="95" t="n">
        <x:v>0</x:v>
      </x:c>
      <x:c r="I30" s="95" t="str">
        <x:v>D28-STORES</x:v>
      </x:c>
      <x:c r="J30" s="95" t="str"/>
    </x:row>
    <x:row r="31" ht="48" customHeight="1">
      <x:c r="A31" s="95" t="str">
        <x:v>D29</x:v>
      </x:c>
      <x:c r="B31" s="95" t="str">
        <x:v>Paediatric Inpatients</x:v>
      </x:c>
      <x:c r="C31" s="95" t="str">
        <x:v>L03</x:v>
      </x:c>
      <x:c r="D31" s="95" t="str">
        <x:v>Yes</x:v>
      </x:c>
      <x:c r="E31" s="95" t="str">
        <x:v>Yes</x:v>
      </x:c>
      <x:c r="F31" s="95" t="str">
        <x:v>00:00-24:00</x:v>
      </x:c>
      <x:c r="G31" s="95" t="str">
        <x:v>mon, tue, wed, thu, fri, sat, sun</x:v>
      </x:c>
      <x:c r="H31" s="95" t="n">
        <x:v>0</x:v>
      </x:c>
      <x:c r="I31" s="95" t="str">
        <x:v>D29-STORES</x:v>
      </x:c>
      <x:c r="J31" s="95" t="str">
        <x:v>D29-DROP-ZONE</x:v>
      </x:c>
    </x:row>
    <x:row r="32" ht="48" customHeight="1">
      <x:c r="A32" s="95" t="str">
        <x:v>D30</x:v>
      </x:c>
      <x:c r="B32" s="95" t="str">
        <x:v>Maternity Inpatients</x:v>
      </x:c>
      <x:c r="C32" s="95" t="str">
        <x:v>L03</x:v>
      </x:c>
      <x:c r="D32" s="95" t="str">
        <x:v>Yes</x:v>
      </x:c>
      <x:c r="E32" s="95" t="str">
        <x:v>Yes</x:v>
      </x:c>
      <x:c r="F32" s="95" t="str">
        <x:v>00:00-24:00</x:v>
      </x:c>
      <x:c r="G32" s="95" t="str">
        <x:v>mon, tue, wed, thu, fri, sat, sun</x:v>
      </x:c>
      <x:c r="H32" s="95" t="n">
        <x:v>0</x:v>
      </x:c>
      <x:c r="I32" s="95" t="str">
        <x:v>D30-STORES</x:v>
      </x:c>
      <x:c r="J32" s="95" t="str">
        <x:v>D29-DROP-ZONE</x:v>
      </x:c>
    </x:row>
    <x:row r="33" ht="48" customHeight="1">
      <x:c r="A33" s="95" t="str">
        <x:v>D31</x:v>
      </x:c>
      <x:c r="B33" s="95" t="str">
        <x:v>Adult Inpatients 1</x:v>
      </x:c>
      <x:c r="C33" s="95" t="str">
        <x:v>L03</x:v>
      </x:c>
      <x:c r="D33" s="95" t="str">
        <x:v>Yes</x:v>
      </x:c>
      <x:c r="E33" s="95" t="str">
        <x:v>Yes</x:v>
      </x:c>
      <x:c r="F33" s="95" t="str">
        <x:v>00:00-24:00</x:v>
      </x:c>
      <x:c r="G33" s="95" t="str">
        <x:v>mon, tue, wed, thu, fri, sat, sun</x:v>
      </x:c>
      <x:c r="H33" s="95" t="n">
        <x:v>0</x:v>
      </x:c>
      <x:c r="I33" s="95" t="str">
        <x:v>D31-STORES</x:v>
      </x:c>
      <x:c r="J33" s="95" t="str">
        <x:v>D32-DROP-ZONE</x:v>
      </x:c>
    </x:row>
    <x:row r="34" ht="48" customHeight="1">
      <x:c r="A34" s="95" t="str">
        <x:v>D32</x:v>
      </x:c>
      <x:c r="B34" s="95" t="str">
        <x:v>Adult Inpatients 2</x:v>
      </x:c>
      <x:c r="C34" s="95" t="str">
        <x:v>L03</x:v>
      </x:c>
      <x:c r="D34" s="95" t="str">
        <x:v>Yes</x:v>
      </x:c>
      <x:c r="E34" s="95" t="str">
        <x:v>Yes</x:v>
      </x:c>
      <x:c r="F34" s="95" t="str">
        <x:v>00:00-24:00</x:v>
      </x:c>
      <x:c r="G34" s="95" t="str">
        <x:v>mon, tue, wed, thu, fri, sat, sun</x:v>
      </x:c>
      <x:c r="H34" s="95" t="n">
        <x:v>0</x:v>
      </x:c>
      <x:c r="I34" s="95" t="str">
        <x:v>D31-STORES, D32-STORES</x:v>
      </x:c>
      <x:c r="J34" s="95" t="str">
        <x:v>D32-DROP-ZONE</x:v>
      </x:c>
    </x:row>
    <x:row r="35" ht="48" customHeight="1">
      <x:c r="A35" s="95" t="str">
        <x:v>D33</x:v>
      </x:c>
      <x:c r="B35" s="95" t="str">
        <x:v>Adult Inpatients 3</x:v>
      </x:c>
      <x:c r="C35" s="95" t="str">
        <x:v>L03</x:v>
      </x:c>
      <x:c r="D35" s="95" t="str">
        <x:v>Yes</x:v>
      </x:c>
      <x:c r="E35" s="95" t="str">
        <x:v>Yes</x:v>
      </x:c>
      <x:c r="F35" s="95" t="str">
        <x:v>00:00-24:00</x:v>
      </x:c>
      <x:c r="G35" s="95" t="str">
        <x:v>mon, tue, wed, thu, fri, sat, sun</x:v>
      </x:c>
      <x:c r="H35" s="95" t="n">
        <x:v>0</x:v>
      </x:c>
      <x:c r="I35" s="95" t="str">
        <x:v>D33-STORES</x:v>
      </x:c>
      <x:c r="J35" s="95" t="str">
        <x:v>D33-DROP-ZONE</x:v>
      </x:c>
    </x:row>
    <x:row r="36" ht="48" customHeight="1">
      <x:c r="A36" s="95" t="str">
        <x:v>D34</x:v>
      </x:c>
      <x:c r="B36" s="95" t="str">
        <x:v>Adult Inpatients 4</x:v>
      </x:c>
      <x:c r="C36" s="95" t="str">
        <x:v>L03</x:v>
      </x:c>
      <x:c r="D36" s="95" t="str">
        <x:v>Yes</x:v>
      </x:c>
      <x:c r="E36" s="95" t="str">
        <x:v>Yes</x:v>
      </x:c>
      <x:c r="F36" s="95" t="str">
        <x:v>00:00-24:00</x:v>
      </x:c>
      <x:c r="G36" s="95" t="str">
        <x:v>mon, tue, wed, thu, fri, sat, sun</x:v>
      </x:c>
      <x:c r="H36" s="95" t="n">
        <x:v>0</x:v>
      </x:c>
      <x:c r="I36" s="95" t="str">
        <x:v>D33-STORES, D34-STORES</x:v>
      </x:c>
      <x:c r="J36" s="95" t="str">
        <x:v>D33-DROP-ZONE</x:v>
      </x:c>
    </x:row>
    <x:row r="37" ht="48" customHeight="1">
      <x:c r="A37" s="95" t="str">
        <x:v>D35</x:v>
      </x:c>
      <x:c r="B37" s="95" t="str">
        <x:v>Respiratory Inpatients</x:v>
      </x:c>
      <x:c r="C37" s="95" t="str">
        <x:v>L04</x:v>
      </x:c>
      <x:c r="D37" s="95" t="str">
        <x:v>Yes</x:v>
      </x:c>
      <x:c r="E37" s="95" t="str">
        <x:v>Yes</x:v>
      </x:c>
      <x:c r="F37" s="95" t="str">
        <x:v>00:00-24:00</x:v>
      </x:c>
      <x:c r="G37" s="95" t="str">
        <x:v>mon, tue, wed, thu, fri, sat, sun</x:v>
      </x:c>
      <x:c r="H37" s="95" t="n">
        <x:v>0</x:v>
      </x:c>
      <x:c r="I37" s="95" t="str">
        <x:v>D35-STORES</x:v>
      </x:c>
      <x:c r="J37" s="95" t="str">
        <x:v>D35-DROP-ZONE</x:v>
      </x:c>
    </x:row>
    <x:row r="38" ht="48" customHeight="1">
      <x:c r="A38" s="95" t="str">
        <x:v>D36</x:v>
      </x:c>
      <x:c r="B38" s="95" t="str">
        <x:v>Cardic Inpatients</x:v>
      </x:c>
      <x:c r="C38" s="95" t="str">
        <x:v>L04</x:v>
      </x:c>
      <x:c r="D38" s="95" t="str">
        <x:v>Yes</x:v>
      </x:c>
      <x:c r="E38" s="95" t="str">
        <x:v>Yes</x:v>
      </x:c>
      <x:c r="F38" s="95" t="str">
        <x:v>00:00-24:00</x:v>
      </x:c>
      <x:c r="G38" s="95" t="str">
        <x:v>mon, tue, wed, thu, fri, sat, sun</x:v>
      </x:c>
      <x:c r="H38" s="95" t="n">
        <x:v>0</x:v>
      </x:c>
      <x:c r="I38" s="95" t="str">
        <x:v>D36-STORES</x:v>
      </x:c>
      <x:c r="J38" s="95" t="str">
        <x:v>D35-DROP-ZONE</x:v>
      </x:c>
    </x:row>
    <x:row r="39" ht="48" customHeight="1">
      <x:c r="A39" s="95" t="str">
        <x:v>D37</x:v>
      </x:c>
      <x:c r="B39" s="95" t="str">
        <x:v>Adult Inpatients 5</x:v>
      </x:c>
      <x:c r="C39" s="95" t="str">
        <x:v>L04</x:v>
      </x:c>
      <x:c r="D39" s="95" t="str">
        <x:v>Yes</x:v>
      </x:c>
      <x:c r="E39" s="95" t="str">
        <x:v>Yes</x:v>
      </x:c>
      <x:c r="F39" s="95" t="str">
        <x:v>00:00-24:00</x:v>
      </x:c>
      <x:c r="G39" s="95" t="str">
        <x:v>mon, tue, wed, thu, fri, sat, sun</x:v>
      </x:c>
      <x:c r="H39" s="95" t="n">
        <x:v>0</x:v>
      </x:c>
      <x:c r="I39" s="95" t="str">
        <x:v>D37-STORES</x:v>
      </x:c>
      <x:c r="J39" s="95" t="str">
        <x:v>D38-DROP-ZONE</x:v>
      </x:c>
    </x:row>
    <x:row r="40" ht="48" customHeight="1">
      <x:c r="A40" s="95" t="str">
        <x:v>D38</x:v>
      </x:c>
      <x:c r="B40" s="95" t="str">
        <x:v>Elective Orthopaedic Inpatients</x:v>
      </x:c>
      <x:c r="C40" s="95" t="str">
        <x:v>L04</x:v>
      </x:c>
      <x:c r="D40" s="95" t="str">
        <x:v>Yes</x:v>
      </x:c>
      <x:c r="E40" s="95" t="str">
        <x:v>Yes</x:v>
      </x:c>
      <x:c r="F40" s="95" t="str">
        <x:v>00:00-24:00</x:v>
      </x:c>
      <x:c r="G40" s="95" t="str">
        <x:v>mon, tue, wed, thu, fri, sat, sun</x:v>
      </x:c>
      <x:c r="H40" s="95" t="n">
        <x:v>0</x:v>
      </x:c>
      <x:c r="I40" s="95" t="str">
        <x:v>D37-STORES, D38-STORES</x:v>
      </x:c>
      <x:c r="J40" s="95" t="str">
        <x:v>D38-DROP-ZONE</x:v>
      </x:c>
    </x:row>
    <x:row r="41" ht="48" customHeight="1">
      <x:c r="A41" s="95" t="str">
        <x:v>D39</x:v>
      </x:c>
      <x:c r="B41" s="95" t="str">
        <x:v>Adult Inpatients 6</x:v>
      </x:c>
      <x:c r="C41" s="95" t="str">
        <x:v>L04</x:v>
      </x:c>
      <x:c r="D41" s="95" t="str">
        <x:v>Yes</x:v>
      </x:c>
      <x:c r="E41" s="95" t="str">
        <x:v>Yes</x:v>
      </x:c>
      <x:c r="F41" s="95" t="str">
        <x:v>00:00-24:00</x:v>
      </x:c>
      <x:c r="G41" s="95" t="str">
        <x:v>mon, tue, wed, thu, fri, sat, sun</x:v>
      </x:c>
      <x:c r="H41" s="95" t="n">
        <x:v>32</x:v>
      </x:c>
      <x:c r="I41" s="95" t="str">
        <x:v>D39-STORES</x:v>
      </x:c>
      <x:c r="J41" s="95" t="str">
        <x:v>D39-DROP-ZONE</x:v>
      </x:c>
    </x:row>
    <x:row r="42" ht="48" customHeight="1">
      <x:c r="A42" s="95" t="str">
        <x:v>D40</x:v>
      </x:c>
      <x:c r="B42" s="95" t="str">
        <x:v>Adult Inpatients 7</x:v>
      </x:c>
      <x:c r="C42" s="95" t="str">
        <x:v>L04</x:v>
      </x:c>
      <x:c r="D42" s="95" t="str">
        <x:v>Yes</x:v>
      </x:c>
      <x:c r="E42" s="95" t="str">
        <x:v>Yes</x:v>
      </x:c>
      <x:c r="F42" s="95" t="str">
        <x:v>00:00-24:00</x:v>
      </x:c>
      <x:c r="G42" s="95" t="str">
        <x:v>mon, tue, wed, thu, fri, sat, sun</x:v>
      </x:c>
      <x:c r="H42" s="95" t="n">
        <x:v>32</x:v>
      </x:c>
      <x:c r="I42" s="95" t="str">
        <x:v>D40-STORES</x:v>
      </x:c>
      <x:c r="J42" s="95" t="str">
        <x:v>D39-DROP-ZONE</x:v>
      </x:c>
    </x:row>
    <x:row r="43" ht="48" customHeight="1">
      <x:c r="A43" s="95" t="str">
        <x:v>D41</x:v>
      </x:c>
      <x:c r="B43" s="95" t="str">
        <x:v>Adult Inpatients 8</x:v>
      </x:c>
      <x:c r="C43" s="95" t="str">
        <x:v>L05</x:v>
      </x:c>
      <x:c r="D43" s="95" t="str">
        <x:v>Yes</x:v>
      </x:c>
      <x:c r="E43" s="95" t="str">
        <x:v>Yes</x:v>
      </x:c>
      <x:c r="F43" s="95" t="str">
        <x:v>00:00-24:00</x:v>
      </x:c>
      <x:c r="G43" s="95" t="str">
        <x:v>mon, tue, wed, thu, fri, sat, sun</x:v>
      </x:c>
      <x:c r="H43" s="95" t="n">
        <x:v>0</x:v>
      </x:c>
      <x:c r="I43" s="95" t="str">
        <x:v>D41-STORES</x:v>
      </x:c>
      <x:c r="J43" s="95" t="str">
        <x:v>D41-DROP-ZONE</x:v>
      </x:c>
    </x:row>
    <x:row r="44" ht="48" customHeight="1">
      <x:c r="A44" s="95" t="str">
        <x:v>D42</x:v>
      </x:c>
      <x:c r="B44" s="95" t="str">
        <x:v>Stroke Inpatients</x:v>
      </x:c>
      <x:c r="C44" s="95" t="str">
        <x:v>L05</x:v>
      </x:c>
      <x:c r="D44" s="95" t="str">
        <x:v>Yes</x:v>
      </x:c>
      <x:c r="E44" s="95" t="str">
        <x:v>Yes</x:v>
      </x:c>
      <x:c r="F44" s="95" t="str">
        <x:v>00:00-24:00</x:v>
      </x:c>
      <x:c r="G44" s="95" t="str">
        <x:v>mon, tue, wed, thu, fri</x:v>
      </x:c>
      <x:c r="H44" s="95" t="n">
        <x:v>0</x:v>
      </x:c>
      <x:c r="I44" s="95" t="str">
        <x:v>D42-STORES</x:v>
      </x:c>
      <x:c r="J44" s="95" t="str">
        <x:v>D41-DROP-ZONE</x:v>
      </x:c>
    </x:row>
    <x:row r="45" ht="48" customHeight="1">
      <x:c r="A45" s="95" t="str">
        <x:v>D43</x:v>
      </x:c>
      <x:c r="B45" s="95" t="str">
        <x:v>Adult Inpatients 9</x:v>
      </x:c>
      <x:c r="C45" s="95" t="str">
        <x:v>L05</x:v>
      </x:c>
      <x:c r="D45" s="95" t="str">
        <x:v>Yes</x:v>
      </x:c>
      <x:c r="E45" s="95" t="str">
        <x:v>Yes</x:v>
      </x:c>
      <x:c r="F45" s="95" t="str">
        <x:v>00:00-24:00</x:v>
      </x:c>
      <x:c r="G45" s="95" t="str">
        <x:v>mon, tue, wed, thu, fri, sat, sun</x:v>
      </x:c>
      <x:c r="H45" s="95" t="n">
        <x:v>32</x:v>
      </x:c>
      <x:c r="I45" s="95" t="str">
        <x:v>D43-STORES</x:v>
      </x:c>
      <x:c r="J45" s="95" t="str">
        <x:v>D43-DROP-ZONE</x:v>
      </x:c>
    </x:row>
    <x:row r="46" ht="48" customHeight="1">
      <x:c r="A46" s="95" t="str">
        <x:v>D44</x:v>
      </x:c>
      <x:c r="B46" s="95" t="str">
        <x:v>OPD3</x:v>
      </x:c>
      <x:c r="C46" s="95" t="str">
        <x:v>L00</x:v>
      </x:c>
      <x:c r="D46" s="95" t="str">
        <x:v>Yes</x:v>
      </x:c>
      <x:c r="E46" s="95" t="str">
        <x:v>Yes</x:v>
      </x:c>
      <x:c r="F46" s="95" t="str">
        <x:v>07:00-17:00</x:v>
      </x:c>
      <x:c r="G46" s="95" t="str">
        <x:v>mon, tue, wed, thu, fri</x:v>
      </x:c>
      <x:c r="H46" s="95" t="n">
        <x:v>0</x:v>
      </x:c>
      <x:c r="I46" s="95" t="str">
        <x:v>D44-STORES</x:v>
      </x:c>
      <x:c r="J46" s="95" t="str"/>
    </x:row>
    <x:row r="47" ht="48" customHeight="1">
      <x:c r="A47" s="95" t="str">
        <x:v>D46</x:v>
      </x:c>
      <x:c r="B47" s="95" t="str">
        <x:v>Surgical Ward</x:v>
      </x:c>
      <x:c r="C47" s="95" t="str">
        <x:v>L01</x:v>
      </x:c>
      <x:c r="D47" s="95" t="str">
        <x:v>Yes</x:v>
      </x:c>
      <x:c r="E47" s="95" t="str">
        <x:v>Yes</x:v>
      </x:c>
      <x:c r="F47" s="95" t="str">
        <x:v>00:00-24:00</x:v>
      </x:c>
      <x:c r="G47" s="95" t="str">
        <x:v>mon, tue, wed, thu, fri</x:v>
      </x:c>
      <x:c r="H47" s="95" t="n">
        <x:v>0</x:v>
      </x:c>
      <x:c r="I47" s="95" t="str">
        <x:v>D21-STORES</x:v>
      </x:c>
      <x:c r="J47" s="95" t="str"/>
    </x:row>
    <x:row r="48" ht="48" customHeight="1">
      <x:c r="A48" s="95" t="str">
        <x:v>D47</x:v>
      </x:c>
      <x:c r="B48" s="95" t="str">
        <x:v>Waste storage</x:v>
      </x:c>
      <x:c r="C48" s="95" t="str">
        <x:v>L00</x:v>
      </x:c>
      <x:c r="D48" s="95" t="str">
        <x:v>Yes</x:v>
      </x:c>
      <x:c r="E48" s="95" t="str">
        <x:v>No</x:v>
      </x:c>
      <x:c r="F48" s="95" t="str">
        <x:v>00:00-24:00</x:v>
      </x:c>
      <x:c r="G48" s="95" t="str">
        <x:v>mon, tue, wed, thu, fri</x:v>
      </x:c>
      <x:c r="H48" s="95" t="n">
        <x:v>0</x:v>
      </x:c>
      <x:c r="I48" s="95" t="str"/>
      <x:c r="J48" s="95" t="str"/>
    </x:row>
    <x:row r="49" ht="48" customHeight="1">
      <x:c r="A49" s="95" t="str">
        <x:v>D48</x:v>
      </x:c>
      <x:c r="B49" s="95" t="str">
        <x:v>Laundry</x:v>
      </x:c>
      <x:c r="C49" s="95" t="str">
        <x:v>L00</x:v>
      </x:c>
      <x:c r="D49" s="95" t="str">
        <x:v>Yes</x:v>
      </x:c>
      <x:c r="E49" s="95" t="str">
        <x:v>No</x:v>
      </x:c>
      <x:c r="F49" s="95" t="str">
        <x:v>06:00-14:00</x:v>
      </x:c>
      <x:c r="G49" s="95" t="str">
        <x:v>mon, tue, wed, thu, fri, sat, sun</x:v>
      </x:c>
      <x:c r="H49" s="95" t="n">
        <x:v>0</x:v>
      </x:c>
      <x:c r="I49" s="95" t="str"/>
      <x:c r="J49" s="95" t="str"/>
    </x:row>
    <x:row r="50" ht="48" customHeight="1">
      <x:c r="A50" s="95" t="str">
        <x:v>D49</x:v>
      </x:c>
      <x:c r="B50" s="95" t="str">
        <x:v>Receipts &amp; Distribution</x:v>
      </x:c>
      <x:c r="C50" s="95" t="str">
        <x:v>L00</x:v>
      </x:c>
      <x:c r="D50" s="95" t="str">
        <x:v>Yes</x:v>
      </x:c>
      <x:c r="E50" s="95" t="str">
        <x:v>No</x:v>
      </x:c>
      <x:c r="F50" s="95" t="str">
        <x:v>00:00-24:00</x:v>
      </x:c>
      <x:c r="G50" s="95" t="str">
        <x:v>mon, tue, wed, thu, fri</x:v>
      </x:c>
      <x:c r="H50" s="95" t="n">
        <x:v>0</x:v>
      </x:c>
      <x:c r="I50" s="95" t="str">
        <x:v>D49-STORES, D49-STORES_2</x:v>
      </x:c>
      <x:c r="J50" s="95" t="str"/>
    </x:row>
  </x:sheetData>
  <x:mergeCells>
    <x:mergeCell ref="A2:J2"/>
    <x:mergeCell ref="A3:J4"/>
  </x:mergeCells>
  <x:pageMargins left="0.7" right="0.7" top="0.75" bottom="0.75" header="0.3" footer="0.3"/>
  <x:tableParts count="1">
    <x:tablePart xmlns:r="http://schemas.openxmlformats.org/officeDocument/2006/relationships" r:id="R439bce8c1789426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46" hidden="0" customWidth="1"/>
    <x:col min="4" max="4" width="24" hidden="0" customWidth="1"/>
    <x:col min="5" max="5" width="27" hidden="0" customWidth="1"/>
    <x:col min="6" max="6" width="34" hidden="0" customWidth="1"/>
    <x:col min="7" max="7" width="37" hidden="0" customWidth="1"/>
    <x:col min="8" max="8" width="18" hidden="0" customWidth="1"/>
    <x:col min="9" max="9" width="20" hidden="0" customWidth="1"/>
    <x:col min="10" max="10" width="20" hidden="0" customWidth="1"/>
    <x:col min="11" max="11" width="18" hidden="0" customWidth="1"/>
    <x:col min="12" max="12" width="38" hidden="0" customWidth="1"/>
    <x:col min="13" max="13" width="40" hidden="0" customWidth="1"/>
    <x:col min="14" max="14" width="18" hidden="0" customWidth="1"/>
    <x:col min="15" max="15" width="55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</x:row>
    <x:row r="2">
      <x:c r="A2" s="90" t="str">
        <x:v>Stores | Generation rules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</x:row>
    <x:row r="3" ht="23" customHeight="1">
      <x:c r="A3" s="91" t="str">
        <x:v>Effective category, department-group and waste-stream settings. Schedule times are release/fill times. A threshold rule has no fixed collection time; see actual collections in Timetable.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</x:row>
    <x:row r="5" ht="32" customHeight="1">
      <x:c r="A5" s="97" t="str">
        <x:v>Department ID</x:v>
      </x:c>
      <x:c r="B5" s="97" t="str">
        <x:v>Department</x:v>
      </x:c>
      <x:c r="C5" s="97" t="str">
        <x:v>Rule ID</x:v>
      </x:c>
      <x:c r="D5" s="97" t="str">
        <x:v>Mode</x:v>
      </x:c>
      <x:c r="E5" s="97" t="str">
        <x:v>Payload</x:v>
      </x:c>
      <x:c r="F5" s="97" t="str">
        <x:v>Schedule times</x:v>
      </x:c>
      <x:c r="G5" s="97" t="str">
        <x:v>Active days</x:v>
      </x:c>
      <x:c r="H5" s="97" t="str">
        <x:v>Alternate weeks</x:v>
      </x:c>
      <x:c r="I5" s="97" t="str">
        <x:v>Timeframe</x:v>
      </x:c>
      <x:c r="J5" s="97" t="str">
        <x:v>Threshold (m3)</x:v>
      </x:c>
      <x:c r="K5" s="97" t="str">
        <x:v>Frequency / day</x:v>
      </x:c>
      <x:c r="L5" s="97" t="str">
        <x:v>AMR origin</x:v>
      </x:c>
      <x:c r="M5" s="97" t="str">
        <x:v>AMR destination</x:v>
      </x:c>
      <x:c r="N5" s="97" t="str">
        <x:v>Return enabled</x:v>
      </x:c>
      <x:c r="O5" s="97" t="str">
        <x:v>Notes</x:v>
      </x:c>
    </x:row>
    <x:row r="6" ht="48" customHeight="1">
      <x:c r="A6" s="95" t="str">
        <x:v>D14</x:v>
      </x:c>
      <x:c r="B6" s="95" t="str">
        <x:v>ED-Imaging</x:v>
      </x:c>
      <x:c r="C6" s="95" t="str">
        <x:v>stores:D14:group:GROUP-1</x:v>
      </x:c>
      <x:c r="D6" s="95" t="str">
        <x:v>timeframe</x:v>
      </x:c>
      <x:c r="E6" s="95" t="str">
        <x:v>Goods Cage</x:v>
      </x:c>
      <x:c r="F6" s="95" t="str"/>
      <x:c r="G6" s="95" t="str">
        <x:v>mon</x:v>
      </x:c>
      <x:c r="H6" s="95" t="str">
        <x:v>No</x:v>
      </x:c>
      <x:c r="I6" s="95" t="str">
        <x:v>06:00-16:00</x:v>
      </x:c>
      <x:c r="J6" s="95" t="n">
        <x:v>0</x:v>
      </x:c>
      <x:c r="K6" s="95" t="n">
        <x:v>0</x:v>
      </x:c>
      <x:c r="L6" s="95" t="str">
        <x:v>D49-STORES</x:v>
      </x:c>
      <x:c r="M6" s="95" t="str">
        <x:v>D3-DROP-ZONE</x:v>
      </x:c>
      <x:c r="N6" s="95" t="str">
        <x:v>Yes</x:v>
      </x:c>
      <x:c r="O6" s="95" t="str">
        <x:v>Goods deliveries - weekly Mondays</x:v>
      </x:c>
    </x:row>
    <x:row r="7" ht="48" customHeight="1">
      <x:c r="A7" s="95" t="str">
        <x:v>D2</x:v>
      </x:c>
      <x:c r="B7" s="95" t="str">
        <x:v>SDEC</x:v>
      </x:c>
      <x:c r="C7" s="95" t="str">
        <x:v>stores:D2:group:GROUP-1</x:v>
      </x:c>
      <x:c r="D7" s="95" t="str">
        <x:v>timeframe</x:v>
      </x:c>
      <x:c r="E7" s="95" t="str">
        <x:v>Goods Cage</x:v>
      </x:c>
      <x:c r="F7" s="95" t="str"/>
      <x:c r="G7" s="95" t="str">
        <x:v>mon</x:v>
      </x:c>
      <x:c r="H7" s="95" t="str">
        <x:v>No</x:v>
      </x:c>
      <x:c r="I7" s="95" t="str">
        <x:v>06:00-16:00</x:v>
      </x:c>
      <x:c r="J7" s="95" t="n">
        <x:v>0</x:v>
      </x:c>
      <x:c r="K7" s="95" t="n">
        <x:v>0</x:v>
      </x:c>
      <x:c r="L7" s="95" t="str">
        <x:v>D49-STORES</x:v>
      </x:c>
      <x:c r="M7" s="95" t="str">
        <x:v>D3-DROP-ZONE</x:v>
      </x:c>
      <x:c r="N7" s="95" t="str">
        <x:v>Yes</x:v>
      </x:c>
      <x:c r="O7" s="95" t="str">
        <x:v>Goods deliveries - weekly Mondays</x:v>
      </x:c>
    </x:row>
    <x:row r="8" ht="48" customHeight="1">
      <x:c r="A8" s="95" t="str">
        <x:v>D24</x:v>
      </x:c>
      <x:c r="B8" s="95" t="str">
        <x:v>Urology Outpatients</x:v>
      </x:c>
      <x:c r="C8" s="95" t="str">
        <x:v>stores:D24:group:GROUP-1</x:v>
      </x:c>
      <x:c r="D8" s="95" t="str">
        <x:v>timeframe</x:v>
      </x:c>
      <x:c r="E8" s="95" t="str">
        <x:v>Goods Cage</x:v>
      </x:c>
      <x:c r="F8" s="95" t="str"/>
      <x:c r="G8" s="95" t="str">
        <x:v>mon</x:v>
      </x:c>
      <x:c r="H8" s="95" t="str">
        <x:v>No</x:v>
      </x:c>
      <x:c r="I8" s="95" t="str">
        <x:v>06:00-16:00</x:v>
      </x:c>
      <x:c r="J8" s="95" t="n">
        <x:v>0</x:v>
      </x:c>
      <x:c r="K8" s="95" t="n">
        <x:v>0</x:v>
      </x:c>
      <x:c r="L8" s="95" t="str">
        <x:v>D49-STORES</x:v>
      </x:c>
      <x:c r="M8" s="95" t="str">
        <x:v>D22-STORES</x:v>
      </x:c>
      <x:c r="N8" s="95" t="str">
        <x:v>Yes</x:v>
      </x:c>
      <x:c r="O8" s="95" t="str">
        <x:v>Goods deliveries - weekly Mondays</x:v>
      </x:c>
    </x:row>
    <x:row r="9" ht="48" customHeight="1">
      <x:c r="A9" s="95" t="str">
        <x:v>D3</x:v>
      </x:c>
      <x:c r="B9" s="95" t="str">
        <x:v>Urgent Care</x:v>
      </x:c>
      <x:c r="C9" s="95" t="str">
        <x:v>stores:D3:group:GROUP-1</x:v>
      </x:c>
      <x:c r="D9" s="95" t="str">
        <x:v>timeframe</x:v>
      </x:c>
      <x:c r="E9" s="95" t="str">
        <x:v>Goods Cage</x:v>
      </x:c>
      <x:c r="F9" s="95" t="str"/>
      <x:c r="G9" s="95" t="str">
        <x:v>mon</x:v>
      </x:c>
      <x:c r="H9" s="95" t="str">
        <x:v>No</x:v>
      </x:c>
      <x:c r="I9" s="95" t="str">
        <x:v>06:00-16:00</x:v>
      </x:c>
      <x:c r="J9" s="95" t="n">
        <x:v>0</x:v>
      </x:c>
      <x:c r="K9" s="95" t="n">
        <x:v>0</x:v>
      </x:c>
      <x:c r="L9" s="95" t="str">
        <x:v>D49-STORES</x:v>
      </x:c>
      <x:c r="M9" s="95" t="str">
        <x:v>D3-DROP-ZONE</x:v>
      </x:c>
      <x:c r="N9" s="95" t="str">
        <x:v>Yes</x:v>
      </x:c>
      <x:c r="O9" s="95" t="str">
        <x:v>Goods deliveries - weekly Mondays</x:v>
      </x:c>
    </x:row>
    <x:row r="10" ht="48" customHeight="1">
      <x:c r="A10" s="95" t="str">
        <x:v>D38</x:v>
      </x:c>
      <x:c r="B10" s="95" t="str">
        <x:v>Elective Orthopaedic Inpatients</x:v>
      </x:c>
      <x:c r="C10" s="95" t="str">
        <x:v>stores:D38:group:GROUP-1</x:v>
      </x:c>
      <x:c r="D10" s="95" t="str">
        <x:v>timeframe</x:v>
      </x:c>
      <x:c r="E10" s="95" t="str">
        <x:v>Goods Cage</x:v>
      </x:c>
      <x:c r="F10" s="95" t="str"/>
      <x:c r="G10" s="95" t="str">
        <x:v>mon</x:v>
      </x:c>
      <x:c r="H10" s="95" t="str">
        <x:v>No</x:v>
      </x:c>
      <x:c r="I10" s="95" t="str">
        <x:v>06:00-16:00</x:v>
      </x:c>
      <x:c r="J10" s="95" t="n">
        <x:v>0</x:v>
      </x:c>
      <x:c r="K10" s="95" t="n">
        <x:v>0</x:v>
      </x:c>
      <x:c r="L10" s="95" t="str">
        <x:v>D49-STORES</x:v>
      </x:c>
      <x:c r="M10" s="95" t="str">
        <x:v>D38-DROP-ZONE</x:v>
      </x:c>
      <x:c r="N10" s="95" t="str">
        <x:v>Yes</x:v>
      </x:c>
      <x:c r="O10" s="95" t="str">
        <x:v>Goods deliveries - weekly Mondays</x:v>
      </x:c>
    </x:row>
    <x:row r="11" ht="48" customHeight="1">
      <x:c r="A11" s="95" t="str">
        <x:v>D44</x:v>
      </x:c>
      <x:c r="B11" s="95" t="str">
        <x:v>OPD3</x:v>
      </x:c>
      <x:c r="C11" s="95" t="str">
        <x:v>stores:D44:group:GROUP-1</x:v>
      </x:c>
      <x:c r="D11" s="95" t="str">
        <x:v>timeframe</x:v>
      </x:c>
      <x:c r="E11" s="95" t="str">
        <x:v>Goods Cage</x:v>
      </x:c>
      <x:c r="F11" s="95" t="str"/>
      <x:c r="G11" s="95" t="str">
        <x:v>mon</x:v>
      </x:c>
      <x:c r="H11" s="95" t="str">
        <x:v>No</x:v>
      </x:c>
      <x:c r="I11" s="95" t="str">
        <x:v>06:00-16:00</x:v>
      </x:c>
      <x:c r="J11" s="95" t="n">
        <x:v>0</x:v>
      </x:c>
      <x:c r="K11" s="95" t="n">
        <x:v>0</x:v>
      </x:c>
      <x:c r="L11" s="95" t="str">
        <x:v>D49-STORES</x:v>
      </x:c>
      <x:c r="M11" s="95" t="str">
        <x:v>D44-STORES</x:v>
      </x:c>
      <x:c r="N11" s="95" t="str">
        <x:v>Yes</x:v>
      </x:c>
      <x:c r="O11" s="95" t="str">
        <x:v>Goods deliveries - weekly Mondays</x:v>
      </x:c>
    </x:row>
    <x:row r="12" ht="48" customHeight="1">
      <x:c r="A12" s="95" t="str">
        <x:v>D17</x:v>
      </x:c>
      <x:c r="B12" s="95" t="str">
        <x:v>Ambulatory Care</x:v>
      </x:c>
      <x:c r="C12" s="95" t="str">
        <x:v>stores:D17:group:GROUP-2</x:v>
      </x:c>
      <x:c r="D12" s="95" t="str">
        <x:v>timeframe</x:v>
      </x:c>
      <x:c r="E12" s="95" t="str">
        <x:v>Goods Cage</x:v>
      </x:c>
      <x:c r="F12" s="95" t="str"/>
      <x:c r="G12" s="95" t="str">
        <x:v>tue</x:v>
      </x:c>
      <x:c r="H12" s="95" t="str">
        <x:v>No</x:v>
      </x:c>
      <x:c r="I12" s="95" t="str">
        <x:v>06:00-16:00</x:v>
      </x:c>
      <x:c r="J12" s="95" t="n">
        <x:v>0</x:v>
      </x:c>
      <x:c r="K12" s="95" t="n">
        <x:v>0</x:v>
      </x:c>
      <x:c r="L12" s="95" t="str">
        <x:v>D49-STORES</x:v>
      </x:c>
      <x:c r="M12" s="95" t="str">
        <x:v>D19-STORES</x:v>
      </x:c>
      <x:c r="N12" s="95" t="str">
        <x:v>Yes</x:v>
      </x:c>
      <x:c r="O12" s="95" t="str">
        <x:v>Goods deliveries - weekly Tuesdays</x:v>
      </x:c>
    </x:row>
    <x:row r="13" ht="48" customHeight="1">
      <x:c r="A13" s="95" t="str">
        <x:v>D21</x:v>
      </x:c>
      <x:c r="B13" s="95" t="str">
        <x:v>Intensive Care</x:v>
      </x:c>
      <x:c r="C13" s="95" t="str">
        <x:v>stores:D21:group:GROUP-2</x:v>
      </x:c>
      <x:c r="D13" s="95" t="str">
        <x:v>timeframe</x:v>
      </x:c>
      <x:c r="E13" s="95" t="str">
        <x:v>Goods Cage</x:v>
      </x:c>
      <x:c r="F13" s="95" t="str"/>
      <x:c r="G13" s="95" t="str">
        <x:v>tue</x:v>
      </x:c>
      <x:c r="H13" s="95" t="str">
        <x:v>No</x:v>
      </x:c>
      <x:c r="I13" s="95" t="str">
        <x:v>06:00-16:00</x:v>
      </x:c>
      <x:c r="J13" s="95" t="n">
        <x:v>0</x:v>
      </x:c>
      <x:c r="K13" s="95" t="n">
        <x:v>0</x:v>
      </x:c>
      <x:c r="L13" s="95" t="str">
        <x:v>D49-STORES</x:v>
      </x:c>
      <x:c r="M13" s="95" t="str">
        <x:v>D21-STORES</x:v>
      </x:c>
      <x:c r="N13" s="95" t="str">
        <x:v>Yes</x:v>
      </x:c>
      <x:c r="O13" s="95" t="str">
        <x:v>Goods deliveries - weekly Tuesdays</x:v>
      </x:c>
    </x:row>
    <x:row r="14" ht="48" customHeight="1">
      <x:c r="A14" s="95" t="str">
        <x:v>D35</x:v>
      </x:c>
      <x:c r="B14" s="95" t="str">
        <x:v>Respiratory Inpatients</x:v>
      </x:c>
      <x:c r="C14" s="95" t="str">
        <x:v>stores:D35:group:GROUP-2</x:v>
      </x:c>
      <x:c r="D14" s="95" t="str">
        <x:v>timeframe</x:v>
      </x:c>
      <x:c r="E14" s="95" t="str">
        <x:v>Goods Cage</x:v>
      </x:c>
      <x:c r="F14" s="95" t="str"/>
      <x:c r="G14" s="95" t="str">
        <x:v>tue</x:v>
      </x:c>
      <x:c r="H14" s="95" t="str">
        <x:v>No</x:v>
      </x:c>
      <x:c r="I14" s="95" t="str">
        <x:v>06:00-16:00</x:v>
      </x:c>
      <x:c r="J14" s="95" t="n">
        <x:v>0</x:v>
      </x:c>
      <x:c r="K14" s="95" t="n">
        <x:v>0</x:v>
      </x:c>
      <x:c r="L14" s="95" t="str">
        <x:v>D49-STORES</x:v>
      </x:c>
      <x:c r="M14" s="95" t="str">
        <x:v>D35-DROP-ZONE</x:v>
      </x:c>
      <x:c r="N14" s="95" t="str">
        <x:v>Yes</x:v>
      </x:c>
      <x:c r="O14" s="95" t="str">
        <x:v>Goods deliveries - weekly Tuesdays</x:v>
      </x:c>
    </x:row>
    <x:row r="15" ht="48" customHeight="1">
      <x:c r="A15" s="95" t="str">
        <x:v>D36</x:v>
      </x:c>
      <x:c r="B15" s="95" t="str">
        <x:v>Cardic Inpatients</x:v>
      </x:c>
      <x:c r="C15" s="95" t="str">
        <x:v>stores:D36:group:GROUP-2</x:v>
      </x:c>
      <x:c r="D15" s="95" t="str">
        <x:v>timeframe</x:v>
      </x:c>
      <x:c r="E15" s="95" t="str">
        <x:v>Goods Cage</x:v>
      </x:c>
      <x:c r="F15" s="95" t="str"/>
      <x:c r="G15" s="95" t="str">
        <x:v>tue</x:v>
      </x:c>
      <x:c r="H15" s="95" t="str">
        <x:v>No</x:v>
      </x:c>
      <x:c r="I15" s="95" t="str">
        <x:v>06:00-16:00</x:v>
      </x:c>
      <x:c r="J15" s="95" t="n">
        <x:v>0</x:v>
      </x:c>
      <x:c r="K15" s="95" t="n">
        <x:v>0</x:v>
      </x:c>
      <x:c r="L15" s="95" t="str">
        <x:v>D49-STORES</x:v>
      </x:c>
      <x:c r="M15" s="95" t="str">
        <x:v>D35-DROP-ZONE</x:v>
      </x:c>
      <x:c r="N15" s="95" t="str">
        <x:v>Yes</x:v>
      </x:c>
      <x:c r="O15" s="95" t="str">
        <x:v>Goods deliveries - weekly Tuesdays</x:v>
      </x:c>
    </x:row>
    <x:row r="16" ht="48" customHeight="1">
      <x:c r="A16" s="95" t="str">
        <x:v>D39</x:v>
      </x:c>
      <x:c r="B16" s="95" t="str">
        <x:v>Adult Inpatients 6</x:v>
      </x:c>
      <x:c r="C16" s="95" t="str">
        <x:v>stores:D39:group:GROUP-2</x:v>
      </x:c>
      <x:c r="D16" s="95" t="str">
        <x:v>timeframe</x:v>
      </x:c>
      <x:c r="E16" s="95" t="str">
        <x:v>Goods Cage</x:v>
      </x:c>
      <x:c r="F16" s="95" t="str"/>
      <x:c r="G16" s="95" t="str">
        <x:v>tue</x:v>
      </x:c>
      <x:c r="H16" s="95" t="str">
        <x:v>No</x:v>
      </x:c>
      <x:c r="I16" s="95" t="str">
        <x:v>06:00-16:00</x:v>
      </x:c>
      <x:c r="J16" s="95" t="n">
        <x:v>0</x:v>
      </x:c>
      <x:c r="K16" s="95" t="n">
        <x:v>0</x:v>
      </x:c>
      <x:c r="L16" s="95" t="str">
        <x:v>D49-STORES</x:v>
      </x:c>
      <x:c r="M16" s="95" t="str">
        <x:v>D39-DROP-ZONE</x:v>
      </x:c>
      <x:c r="N16" s="95" t="str">
        <x:v>Yes</x:v>
      </x:c>
      <x:c r="O16" s="95" t="str">
        <x:v>Goods deliveries - weekly Tuesdays</x:v>
      </x:c>
    </x:row>
    <x:row r="17" ht="48" customHeight="1">
      <x:c r="A17" s="95" t="str">
        <x:v>D40</x:v>
      </x:c>
      <x:c r="B17" s="95" t="str">
        <x:v>Adult Inpatients 7</x:v>
      </x:c>
      <x:c r="C17" s="95" t="str">
        <x:v>stores:D40:group:GROUP-2</x:v>
      </x:c>
      <x:c r="D17" s="95" t="str">
        <x:v>timeframe</x:v>
      </x:c>
      <x:c r="E17" s="95" t="str">
        <x:v>Goods Cage</x:v>
      </x:c>
      <x:c r="F17" s="95" t="str"/>
      <x:c r="G17" s="95" t="str">
        <x:v>tue</x:v>
      </x:c>
      <x:c r="H17" s="95" t="str">
        <x:v>No</x:v>
      </x:c>
      <x:c r="I17" s="95" t="str">
        <x:v>06:00-16:00</x:v>
      </x:c>
      <x:c r="J17" s="95" t="n">
        <x:v>0</x:v>
      </x:c>
      <x:c r="K17" s="95" t="n">
        <x:v>0</x:v>
      </x:c>
      <x:c r="L17" s="95" t="str">
        <x:v>D49-STORES</x:v>
      </x:c>
      <x:c r="M17" s="95" t="str">
        <x:v>D39-DROP-ZONE</x:v>
      </x:c>
      <x:c r="N17" s="95" t="str">
        <x:v>Yes</x:v>
      </x:c>
      <x:c r="O17" s="95" t="str">
        <x:v>Goods deliveries - weekly Tuesdays</x:v>
      </x:c>
    </x:row>
    <x:row r="18" ht="48" customHeight="1">
      <x:c r="A18" s="95" t="str">
        <x:v>D41</x:v>
      </x:c>
      <x:c r="B18" s="95" t="str">
        <x:v>Adult Inpatients 8</x:v>
      </x:c>
      <x:c r="C18" s="95" t="str">
        <x:v>stores:D41:group:GROUP-2</x:v>
      </x:c>
      <x:c r="D18" s="95" t="str">
        <x:v>timeframe</x:v>
      </x:c>
      <x:c r="E18" s="95" t="str">
        <x:v>Goods Cage</x:v>
      </x:c>
      <x:c r="F18" s="95" t="str"/>
      <x:c r="G18" s="95" t="str">
        <x:v>tue</x:v>
      </x:c>
      <x:c r="H18" s="95" t="str">
        <x:v>No</x:v>
      </x:c>
      <x:c r="I18" s="95" t="str">
        <x:v>06:00-16:00</x:v>
      </x:c>
      <x:c r="J18" s="95" t="n">
        <x:v>0</x:v>
      </x:c>
      <x:c r="K18" s="95" t="n">
        <x:v>0</x:v>
      </x:c>
      <x:c r="L18" s="95" t="str">
        <x:v>D49-STORES</x:v>
      </x:c>
      <x:c r="M18" s="95" t="str">
        <x:v>D41-DROP-ZONE</x:v>
      </x:c>
      <x:c r="N18" s="95" t="str">
        <x:v>Yes</x:v>
      </x:c>
      <x:c r="O18" s="95" t="str">
        <x:v>Goods deliveries - weekly Tuesdays</x:v>
      </x:c>
    </x:row>
    <x:row r="19" ht="48" customHeight="1">
      <x:c r="A19" s="95" t="str">
        <x:v>D42</x:v>
      </x:c>
      <x:c r="B19" s="95" t="str">
        <x:v>Stroke Inpatients</x:v>
      </x:c>
      <x:c r="C19" s="95" t="str">
        <x:v>stores:D42:group:GROUP-2</x:v>
      </x:c>
      <x:c r="D19" s="95" t="str">
        <x:v>timeframe</x:v>
      </x:c>
      <x:c r="E19" s="95" t="str">
        <x:v>Goods Cage</x:v>
      </x:c>
      <x:c r="F19" s="95" t="str"/>
      <x:c r="G19" s="95" t="str">
        <x:v>tue</x:v>
      </x:c>
      <x:c r="H19" s="95" t="str">
        <x:v>No</x:v>
      </x:c>
      <x:c r="I19" s="95" t="str">
        <x:v>06:00-16:00</x:v>
      </x:c>
      <x:c r="J19" s="95" t="n">
        <x:v>0</x:v>
      </x:c>
      <x:c r="K19" s="95" t="n">
        <x:v>0</x:v>
      </x:c>
      <x:c r="L19" s="95" t="str">
        <x:v>D49-STORES</x:v>
      </x:c>
      <x:c r="M19" s="95" t="str">
        <x:v>D41-DROP-ZONE</x:v>
      </x:c>
      <x:c r="N19" s="95" t="str">
        <x:v>Yes</x:v>
      </x:c>
      <x:c r="O19" s="95" t="str">
        <x:v>Goods deliveries - weekly Tuesdays</x:v>
      </x:c>
    </x:row>
    <x:row r="20" ht="48" customHeight="1">
      <x:c r="A20" s="95" t="str">
        <x:v>D10</x:v>
      </x:c>
      <x:c r="B20" s="95" t="str">
        <x:v>Minor Injuries</x:v>
      </x:c>
      <x:c r="C20" s="95" t="str">
        <x:v>stores:D10:group:GROUP-3</x:v>
      </x:c>
      <x:c r="D20" s="95" t="str">
        <x:v>timeframe</x:v>
      </x:c>
      <x:c r="E20" s="95" t="str">
        <x:v>Goods Cage</x:v>
      </x:c>
      <x:c r="F20" s="95" t="str"/>
      <x:c r="G20" s="95" t="str">
        <x:v>wed</x:v>
      </x:c>
      <x:c r="H20" s="95" t="str">
        <x:v>No</x:v>
      </x:c>
      <x:c r="I20" s="95" t="str">
        <x:v>06:00-16:00</x:v>
      </x:c>
      <x:c r="J20" s="95" t="n">
        <x:v>0</x:v>
      </x:c>
      <x:c r="K20" s="95" t="n">
        <x:v>0</x:v>
      </x:c>
      <x:c r="L20" s="95" t="str">
        <x:v>D49-STORES</x:v>
      </x:c>
      <x:c r="M20" s="95" t="str">
        <x:v>D3-DROP-ZONE</x:v>
      </x:c>
      <x:c r="N20" s="95" t="str">
        <x:v>Yes</x:v>
      </x:c>
      <x:c r="O20" s="95" t="str">
        <x:v>Goods deliveries - weekly Wednesday</x:v>
      </x:c>
    </x:row>
    <x:row r="21" ht="48" customHeight="1">
      <x:c r="A21" s="95" t="str">
        <x:v>D19</x:v>
      </x:c>
      <x:c r="B21" s="95" t="str">
        <x:v>Birthing Suite</x:v>
      </x:c>
      <x:c r="C21" s="95" t="str">
        <x:v>stores:D19:group:GROUP-3</x:v>
      </x:c>
      <x:c r="D21" s="95" t="str">
        <x:v>timeframe</x:v>
      </x:c>
      <x:c r="E21" s="95" t="str">
        <x:v>Goods Cage</x:v>
      </x:c>
      <x:c r="F21" s="95" t="str"/>
      <x:c r="G21" s="95" t="str">
        <x:v>wed</x:v>
      </x:c>
      <x:c r="H21" s="95" t="str">
        <x:v>No</x:v>
      </x:c>
      <x:c r="I21" s="95" t="str">
        <x:v>06:00-16:00</x:v>
      </x:c>
      <x:c r="J21" s="95" t="n">
        <x:v>0</x:v>
      </x:c>
      <x:c r="K21" s="95" t="n">
        <x:v>0</x:v>
      </x:c>
      <x:c r="L21" s="95" t="str">
        <x:v>D49-STORES</x:v>
      </x:c>
      <x:c r="M21" s="95" t="str">
        <x:v>D19-STORES</x:v>
      </x:c>
      <x:c r="N21" s="95" t="str">
        <x:v>Yes</x:v>
      </x:c>
      <x:c r="O21" s="95" t="str">
        <x:v>Goods deliveries - weekly Wednesday</x:v>
      </x:c>
    </x:row>
    <x:row r="22" ht="48" customHeight="1">
      <x:c r="A22" s="95" t="str">
        <x:v>D30</x:v>
      </x:c>
      <x:c r="B22" s="95" t="str">
        <x:v>Maternity Inpatients</x:v>
      </x:c>
      <x:c r="C22" s="95" t="str">
        <x:v>stores:D30:group:GROUP-3</x:v>
      </x:c>
      <x:c r="D22" s="95" t="str">
        <x:v>timeframe</x:v>
      </x:c>
      <x:c r="E22" s="95" t="str">
        <x:v>Goods Cage</x:v>
      </x:c>
      <x:c r="F22" s="95" t="str"/>
      <x:c r="G22" s="95" t="str">
        <x:v>wed</x:v>
      </x:c>
      <x:c r="H22" s="95" t="str">
        <x:v>No</x:v>
      </x:c>
      <x:c r="I22" s="95" t="str">
        <x:v>06:00-16:00</x:v>
      </x:c>
      <x:c r="J22" s="95" t="n">
        <x:v>0</x:v>
      </x:c>
      <x:c r="K22" s="95" t="n">
        <x:v>0</x:v>
      </x:c>
      <x:c r="L22" s="95" t="str">
        <x:v>D49-STORES</x:v>
      </x:c>
      <x:c r="M22" s="95" t="str">
        <x:v>D29-DROP-ZONE</x:v>
      </x:c>
      <x:c r="N22" s="95" t="str">
        <x:v>Yes</x:v>
      </x:c>
      <x:c r="O22" s="95" t="str">
        <x:v>Goods deliveries - weekly Wednesday</x:v>
      </x:c>
    </x:row>
    <x:row r="23" ht="48" customHeight="1">
      <x:c r="A23" s="95" t="str">
        <x:v>D43</x:v>
      </x:c>
      <x:c r="B23" s="95" t="str">
        <x:v>Adult Inpatients 9</x:v>
      </x:c>
      <x:c r="C23" s="95" t="str">
        <x:v>stores:D43:group:GROUP-3</x:v>
      </x:c>
      <x:c r="D23" s="95" t="str">
        <x:v>timeframe</x:v>
      </x:c>
      <x:c r="E23" s="95" t="str">
        <x:v>Goods Cage</x:v>
      </x:c>
      <x:c r="F23" s="95" t="str"/>
      <x:c r="G23" s="95" t="str">
        <x:v>wed</x:v>
      </x:c>
      <x:c r="H23" s="95" t="str">
        <x:v>No</x:v>
      </x:c>
      <x:c r="I23" s="95" t="str">
        <x:v>06:00-16:00</x:v>
      </x:c>
      <x:c r="J23" s="95" t="n">
        <x:v>0</x:v>
      </x:c>
      <x:c r="K23" s="95" t="n">
        <x:v>0</x:v>
      </x:c>
      <x:c r="L23" s="95" t="str">
        <x:v>D49-STORES</x:v>
      </x:c>
      <x:c r="M23" s="95" t="str">
        <x:v>D43-DROP-ZONE</x:v>
      </x:c>
      <x:c r="N23" s="95" t="str">
        <x:v>Yes</x:v>
      </x:c>
      <x:c r="O23" s="95" t="str">
        <x:v>Goods deliveries - weekly Wednesday</x:v>
      </x:c>
    </x:row>
    <x:row r="24" ht="48" customHeight="1">
      <x:c r="A24" s="95" t="str">
        <x:v>D46</x:v>
      </x:c>
      <x:c r="B24" s="95" t="str">
        <x:v>Surgical Ward</x:v>
      </x:c>
      <x:c r="C24" s="95" t="str">
        <x:v>stores:D46:group:GROUP-3</x:v>
      </x:c>
      <x:c r="D24" s="95" t="str">
        <x:v>timeframe</x:v>
      </x:c>
      <x:c r="E24" s="95" t="str">
        <x:v>Goods Cage</x:v>
      </x:c>
      <x:c r="F24" s="95" t="str"/>
      <x:c r="G24" s="95" t="str">
        <x:v>wed</x:v>
      </x:c>
      <x:c r="H24" s="95" t="str">
        <x:v>No</x:v>
      </x:c>
      <x:c r="I24" s="95" t="str">
        <x:v>06:00-16:00</x:v>
      </x:c>
      <x:c r="J24" s="95" t="n">
        <x:v>0</x:v>
      </x:c>
      <x:c r="K24" s="95" t="n">
        <x:v>0</x:v>
      </x:c>
      <x:c r="L24" s="95" t="str">
        <x:v>D49-STORES</x:v>
      </x:c>
      <x:c r="M24" s="95" t="str">
        <x:v>D21-STORES</x:v>
      </x:c>
      <x:c r="N24" s="95" t="str">
        <x:v>Yes</x:v>
      </x:c>
      <x:c r="O24" s="95" t="str">
        <x:v>Goods deliveries - weekly Wednesday</x:v>
      </x:c>
    </x:row>
    <x:row r="25" ht="48" customHeight="1">
      <x:c r="A25" s="95" t="str">
        <x:v>D18</x:v>
      </x:c>
      <x:c r="B25" s="95" t="str">
        <x:v>Neonatal</x:v>
      </x:c>
      <x:c r="C25" s="95" t="str">
        <x:v>stores:D18:group:GROUP-4</x:v>
      </x:c>
      <x:c r="D25" s="95" t="str">
        <x:v>timeframe</x:v>
      </x:c>
      <x:c r="E25" s="95" t="str">
        <x:v>Goods Cage</x:v>
      </x:c>
      <x:c r="F25" s="95" t="str"/>
      <x:c r="G25" s="95" t="str">
        <x:v>thu</x:v>
      </x:c>
      <x:c r="H25" s="95" t="str">
        <x:v>No</x:v>
      </x:c>
      <x:c r="I25" s="95" t="str">
        <x:v>06:00-16:00</x:v>
      </x:c>
      <x:c r="J25" s="95" t="n">
        <x:v>0</x:v>
      </x:c>
      <x:c r="K25" s="95" t="n">
        <x:v>0</x:v>
      </x:c>
      <x:c r="L25" s="95" t="str">
        <x:v>D49-STORES</x:v>
      </x:c>
      <x:c r="M25" s="95" t="str">
        <x:v>D19-STORES</x:v>
      </x:c>
      <x:c r="N25" s="95" t="str">
        <x:v>Yes</x:v>
      </x:c>
      <x:c r="O25" s="95" t="str">
        <x:v>Goods deliveries - weekly Thursdays</x:v>
      </x:c>
    </x:row>
    <x:row r="26" ht="48" customHeight="1">
      <x:c r="A26" s="95" t="str">
        <x:v>D29</x:v>
      </x:c>
      <x:c r="B26" s="95" t="str">
        <x:v>Paediatric Inpatients</x:v>
      </x:c>
      <x:c r="C26" s="95" t="str">
        <x:v>stores:D29:group:GROUP-4</x:v>
      </x:c>
      <x:c r="D26" s="95" t="str">
        <x:v>timeframe</x:v>
      </x:c>
      <x:c r="E26" s="95" t="str">
        <x:v>Goods Cage</x:v>
      </x:c>
      <x:c r="F26" s="95" t="str"/>
      <x:c r="G26" s="95" t="str">
        <x:v>thu</x:v>
      </x:c>
      <x:c r="H26" s="95" t="str">
        <x:v>No</x:v>
      </x:c>
      <x:c r="I26" s="95" t="str">
        <x:v>06:00-16:00</x:v>
      </x:c>
      <x:c r="J26" s="95" t="n">
        <x:v>0</x:v>
      </x:c>
      <x:c r="K26" s="95" t="n">
        <x:v>0</x:v>
      </x:c>
      <x:c r="L26" s="95" t="str">
        <x:v>D49-STORES</x:v>
      </x:c>
      <x:c r="M26" s="95" t="str">
        <x:v>D29-DROP-ZONE</x:v>
      </x:c>
      <x:c r="N26" s="95" t="str">
        <x:v>Yes</x:v>
      </x:c>
      <x:c r="O26" s="95" t="str">
        <x:v>Goods deliveries - weekly Thursdays</x:v>
      </x:c>
    </x:row>
    <x:row r="27" ht="48" customHeight="1">
      <x:c r="A27" s="95" t="str">
        <x:v>D31</x:v>
      </x:c>
      <x:c r="B27" s="95" t="str">
        <x:v>Adult Inpatients 1</x:v>
      </x:c>
      <x:c r="C27" s="95" t="str">
        <x:v>stores:D31:group:GROUP-4</x:v>
      </x:c>
      <x:c r="D27" s="95" t="str">
        <x:v>timeframe</x:v>
      </x:c>
      <x:c r="E27" s="95" t="str">
        <x:v>Goods Cage</x:v>
      </x:c>
      <x:c r="F27" s="95" t="str"/>
      <x:c r="G27" s="95" t="str">
        <x:v>thu</x:v>
      </x:c>
      <x:c r="H27" s="95" t="str">
        <x:v>No</x:v>
      </x:c>
      <x:c r="I27" s="95" t="str">
        <x:v>06:00-16:00</x:v>
      </x:c>
      <x:c r="J27" s="95" t="n">
        <x:v>0</x:v>
      </x:c>
      <x:c r="K27" s="95" t="n">
        <x:v>0</x:v>
      </x:c>
      <x:c r="L27" s="95" t="str">
        <x:v>D49-STORES</x:v>
      </x:c>
      <x:c r="M27" s="95" t="str">
        <x:v>D32-DROP-ZONE</x:v>
      </x:c>
      <x:c r="N27" s="95" t="str">
        <x:v>Yes</x:v>
      </x:c>
      <x:c r="O27" s="95" t="str">
        <x:v>Goods deliveries - weekly Thursdays</x:v>
      </x:c>
    </x:row>
    <x:row r="28" ht="48" customHeight="1">
      <x:c r="A28" s="95" t="str">
        <x:v>D1</x:v>
      </x:c>
      <x:c r="B28" s="95" t="str">
        <x:v>Fraility</x:v>
      </x:c>
      <x:c r="C28" s="95" t="str">
        <x:v>stores:D1:group:GROUP-5</x:v>
      </x:c>
      <x:c r="D28" s="95" t="str">
        <x:v>timeframe</x:v>
      </x:c>
      <x:c r="E28" s="95" t="str">
        <x:v>Goods Cage</x:v>
      </x:c>
      <x:c r="F28" s="95" t="str"/>
      <x:c r="G28" s="95" t="str">
        <x:v>fri</x:v>
      </x:c>
      <x:c r="H28" s="95" t="str">
        <x:v>No</x:v>
      </x:c>
      <x:c r="I28" s="95" t="str">
        <x:v>06:00-16:00</x:v>
      </x:c>
      <x:c r="J28" s="95" t="n">
        <x:v>0</x:v>
      </x:c>
      <x:c r="K28" s="95" t="n">
        <x:v>0</x:v>
      </x:c>
      <x:c r="L28" s="95" t="str">
        <x:v>D49-STORES</x:v>
      </x:c>
      <x:c r="M28" s="95" t="str">
        <x:v>D3-DROP-ZONE</x:v>
      </x:c>
      <x:c r="N28" s="95" t="str">
        <x:v>Yes</x:v>
      </x:c>
      <x:c r="O28" s="95" t="str">
        <x:v>Goods deliveries - weekly Fridays</x:v>
      </x:c>
    </x:row>
    <x:row r="29" ht="48" customHeight="1">
      <x:c r="A29" s="95" t="str">
        <x:v>D20</x:v>
      </x:c>
      <x:c r="B29" s="95" t="str">
        <x:v>Theatres</x:v>
      </x:c>
      <x:c r="C29" s="95" t="str">
        <x:v>stores:D20:group:GROUP-5</x:v>
      </x:c>
      <x:c r="D29" s="95" t="str">
        <x:v>timeframe</x:v>
      </x:c>
      <x:c r="E29" s="95" t="str">
        <x:v>Goods Cage</x:v>
      </x:c>
      <x:c r="F29" s="95" t="str"/>
      <x:c r="G29" s="95" t="str">
        <x:v>fri</x:v>
      </x:c>
      <x:c r="H29" s="95" t="str">
        <x:v>No</x:v>
      </x:c>
      <x:c r="I29" s="95" t="str">
        <x:v>06:00-16:00</x:v>
      </x:c>
      <x:c r="J29" s="95" t="n">
        <x:v>0</x:v>
      </x:c>
      <x:c r="K29" s="95" t="n">
        <x:v>0</x:v>
      </x:c>
      <x:c r="L29" s="95" t="str">
        <x:v>D49-STORES</x:v>
      </x:c>
      <x:c r="M29" s="95" t="str">
        <x:v>D19-STORES</x:v>
      </x:c>
      <x:c r="N29" s="95" t="str">
        <x:v>Yes</x:v>
      </x:c>
      <x:c r="O29" s="95" t="str">
        <x:v>Goods deliveries - weekly Fridays</x:v>
      </x:c>
    </x:row>
    <x:row r="30" ht="48" customHeight="1">
      <x:c r="A30" s="95" t="str">
        <x:v>D32</x:v>
      </x:c>
      <x:c r="B30" s="95" t="str">
        <x:v>Adult Inpatients 2</x:v>
      </x:c>
      <x:c r="C30" s="95" t="str">
        <x:v>stores:D32:group:GROUP-5</x:v>
      </x:c>
      <x:c r="D30" s="95" t="str">
        <x:v>timeframe</x:v>
      </x:c>
      <x:c r="E30" s="95" t="str">
        <x:v>Goods Cage</x:v>
      </x:c>
      <x:c r="F30" s="95" t="str"/>
      <x:c r="G30" s="95" t="str">
        <x:v>fri</x:v>
      </x:c>
      <x:c r="H30" s="95" t="str">
        <x:v>No</x:v>
      </x:c>
      <x:c r="I30" s="95" t="str">
        <x:v>06:00-16:00</x:v>
      </x:c>
      <x:c r="J30" s="95" t="n">
        <x:v>0</x:v>
      </x:c>
      <x:c r="K30" s="95" t="n">
        <x:v>0</x:v>
      </x:c>
      <x:c r="L30" s="95" t="str">
        <x:v>D49-STORES</x:v>
      </x:c>
      <x:c r="M30" s="95" t="str">
        <x:v>D32-DROP-ZONE</x:v>
      </x:c>
      <x:c r="N30" s="95" t="str">
        <x:v>Yes</x:v>
      </x:c>
      <x:c r="O30" s="95" t="str">
        <x:v>Goods deliveries - weekly Fridays</x:v>
      </x:c>
    </x:row>
    <x:row r="31" ht="48" customHeight="1">
      <x:c r="A31" s="95" t="str">
        <x:v>D33</x:v>
      </x:c>
      <x:c r="B31" s="95" t="str">
        <x:v>Adult Inpatients 3</x:v>
      </x:c>
      <x:c r="C31" s="95" t="str">
        <x:v>stores:D33:group:GROUP-5</x:v>
      </x:c>
      <x:c r="D31" s="95" t="str">
        <x:v>timeframe</x:v>
      </x:c>
      <x:c r="E31" s="95" t="str">
        <x:v>Goods Cage</x:v>
      </x:c>
      <x:c r="F31" s="95" t="str"/>
      <x:c r="G31" s="95" t="str">
        <x:v>fri</x:v>
      </x:c>
      <x:c r="H31" s="95" t="str">
        <x:v>No</x:v>
      </x:c>
      <x:c r="I31" s="95" t="str">
        <x:v>06:00-16:00</x:v>
      </x:c>
      <x:c r="J31" s="95" t="n">
        <x:v>0</x:v>
      </x:c>
      <x:c r="K31" s="95" t="n">
        <x:v>0</x:v>
      </x:c>
      <x:c r="L31" s="95" t="str">
        <x:v>D49-STORES</x:v>
      </x:c>
      <x:c r="M31" s="95" t="str">
        <x:v>D33-DROP-ZONE</x:v>
      </x:c>
      <x:c r="N31" s="95" t="str">
        <x:v>Yes</x:v>
      </x:c>
      <x:c r="O31" s="95" t="str">
        <x:v>Goods deliveries - weekly Fridays</x:v>
      </x:c>
    </x:row>
    <x:row r="32" ht="48" customHeight="1">
      <x:c r="A32" s="95" t="str">
        <x:v>D34</x:v>
      </x:c>
      <x:c r="B32" s="95" t="str">
        <x:v>Adult Inpatients 4</x:v>
      </x:c>
      <x:c r="C32" s="95" t="str">
        <x:v>stores:D34:group:GROUP-5</x:v>
      </x:c>
      <x:c r="D32" s="95" t="str">
        <x:v>timeframe</x:v>
      </x:c>
      <x:c r="E32" s="95" t="str">
        <x:v>Goods Cage</x:v>
      </x:c>
      <x:c r="F32" s="95" t="str"/>
      <x:c r="G32" s="95" t="str">
        <x:v>fri</x:v>
      </x:c>
      <x:c r="H32" s="95" t="str">
        <x:v>No</x:v>
      </x:c>
      <x:c r="I32" s="95" t="str">
        <x:v>06:00-16:00</x:v>
      </x:c>
      <x:c r="J32" s="95" t="n">
        <x:v>0</x:v>
      </x:c>
      <x:c r="K32" s="95" t="n">
        <x:v>0</x:v>
      </x:c>
      <x:c r="L32" s="95" t="str">
        <x:v>D49-STORES</x:v>
      </x:c>
      <x:c r="M32" s="95" t="str">
        <x:v>D33-DROP-ZONE</x:v>
      </x:c>
      <x:c r="N32" s="95" t="str">
        <x:v>Yes</x:v>
      </x:c>
      <x:c r="O32" s="95" t="str">
        <x:v>Goods deliveries - weekly Fridays</x:v>
      </x:c>
    </x:row>
    <x:row r="33" ht="48" customHeight="1">
      <x:c r="A33" s="95" t="str">
        <x:v>D37</x:v>
      </x:c>
      <x:c r="B33" s="95" t="str">
        <x:v>Adult Inpatients 5</x:v>
      </x:c>
      <x:c r="C33" s="95" t="str">
        <x:v>stores:D37:group:GROUP-5</x:v>
      </x:c>
      <x:c r="D33" s="95" t="str">
        <x:v>timeframe</x:v>
      </x:c>
      <x:c r="E33" s="95" t="str">
        <x:v>Goods Cage</x:v>
      </x:c>
      <x:c r="F33" s="95" t="str"/>
      <x:c r="G33" s="95" t="str">
        <x:v>fri</x:v>
      </x:c>
      <x:c r="H33" s="95" t="str">
        <x:v>No</x:v>
      </x:c>
      <x:c r="I33" s="95" t="str">
        <x:v>06:00-16:00</x:v>
      </x:c>
      <x:c r="J33" s="95" t="n">
        <x:v>0</x:v>
      </x:c>
      <x:c r="K33" s="95" t="n">
        <x:v>0</x:v>
      </x:c>
      <x:c r="L33" s="95" t="str">
        <x:v>D49-STORES</x:v>
      </x:c>
      <x:c r="M33" s="95" t="str">
        <x:v>D38-DROP-ZONE</x:v>
      </x:c>
      <x:c r="N33" s="95" t="str">
        <x:v>Yes</x:v>
      </x:c>
      <x:c r="O33" s="95" t="str">
        <x:v>Goods deliveries - weekly Fridays</x:v>
      </x:c>
    </x:row>
    <x:row r="34" ht="48" customHeight="1">
      <x:c r="A34" s="95" t="str">
        <x:v>D16</x:v>
      </x:c>
      <x:c r="B34" s="95" t="str">
        <x:v>Ante-natal</x:v>
      </x:c>
      <x:c r="C34" s="95" t="str">
        <x:v>stores:D16:group:GROUP-6</x:v>
      </x:c>
      <x:c r="D34" s="95" t="str">
        <x:v>timeframe</x:v>
      </x:c>
      <x:c r="E34" s="95" t="str">
        <x:v>Goods Cage</x:v>
      </x:c>
      <x:c r="F34" s="95" t="str"/>
      <x:c r="G34" s="95" t="str">
        <x:v>mon</x:v>
      </x:c>
      <x:c r="H34" s="95" t="str">
        <x:v>Yes</x:v>
      </x:c>
      <x:c r="I34" s="95" t="str">
        <x:v>06:00-16:00</x:v>
      </x:c>
      <x:c r="J34" s="95" t="n">
        <x:v>0</x:v>
      </x:c>
      <x:c r="K34" s="95" t="n">
        <x:v>0</x:v>
      </x:c>
      <x:c r="L34" s="95" t="str">
        <x:v>D49-STORES</x:v>
      </x:c>
      <x:c r="M34" s="95" t="str">
        <x:v>D19-STORES</x:v>
      </x:c>
      <x:c r="N34" s="95" t="str">
        <x:v>Yes</x:v>
      </x:c>
      <x:c r="O34" s="95" t="str">
        <x:v>Fortnightly deliveries - Monday</x:v>
      </x:c>
    </x:row>
    <x:row r="35" ht="48" customHeight="1">
      <x:c r="A35" s="95" t="str">
        <x:v>D23</x:v>
      </x:c>
      <x:c r="B35" s="95" t="str">
        <x:v>Gynae Outpatients</x:v>
      </x:c>
      <x:c r="C35" s="95" t="str">
        <x:v>stores:D23:group:GROUP-6</x:v>
      </x:c>
      <x:c r="D35" s="95" t="str">
        <x:v>timeframe</x:v>
      </x:c>
      <x:c r="E35" s="95" t="str">
        <x:v>Goods Cage</x:v>
      </x:c>
      <x:c r="F35" s="95" t="str"/>
      <x:c r="G35" s="95" t="str">
        <x:v>mon</x:v>
      </x:c>
      <x:c r="H35" s="95" t="str">
        <x:v>Yes</x:v>
      </x:c>
      <x:c r="I35" s="95" t="str">
        <x:v>06:00-16:00</x:v>
      </x:c>
      <x:c r="J35" s="95" t="n">
        <x:v>0</x:v>
      </x:c>
      <x:c r="K35" s="95" t="n">
        <x:v>0</x:v>
      </x:c>
      <x:c r="L35" s="95" t="str">
        <x:v>D49-STORES</x:v>
      </x:c>
      <x:c r="M35" s="95" t="str">
        <x:v>D22-STORES</x:v>
      </x:c>
      <x:c r="N35" s="95" t="str">
        <x:v>Yes</x:v>
      </x:c>
      <x:c r="O35" s="95" t="str">
        <x:v>Fortnightly deliveries - Monday</x:v>
      </x:c>
    </x:row>
    <x:row r="36" ht="48" customHeight="1">
      <x:c r="A36" s="95" t="str">
        <x:v>D27</x:v>
      </x:c>
      <x:c r="B36" s="95" t="str">
        <x:v>Minor ops Suite</x:v>
      </x:c>
      <x:c r="C36" s="95" t="str">
        <x:v>stores:D27:group:GROUP-6</x:v>
      </x:c>
      <x:c r="D36" s="95" t="str">
        <x:v>timeframe</x:v>
      </x:c>
      <x:c r="E36" s="95" t="str">
        <x:v>Goods Cage</x:v>
      </x:c>
      <x:c r="F36" s="95" t="str"/>
      <x:c r="G36" s="95" t="str">
        <x:v>mon</x:v>
      </x:c>
      <x:c r="H36" s="95" t="str">
        <x:v>Yes</x:v>
      </x:c>
      <x:c r="I36" s="95" t="str">
        <x:v>06:00-16:00</x:v>
      </x:c>
      <x:c r="J36" s="95" t="n">
        <x:v>0</x:v>
      </x:c>
      <x:c r="K36" s="95" t="n">
        <x:v>0</x:v>
      </x:c>
      <x:c r="L36" s="95" t="str">
        <x:v>D49-STORES</x:v>
      </x:c>
      <x:c r="M36" s="95" t="str">
        <x:v>D22-STORES</x:v>
      </x:c>
      <x:c r="N36" s="95" t="str">
        <x:v>Yes</x:v>
      </x:c>
      <x:c r="O36" s="95" t="str">
        <x:v>Fortnightly deliveries - Monday</x:v>
      </x:c>
    </x:row>
    <x:row r="37" ht="48" customHeight="1">
      <x:c r="A37" s="95" t="str">
        <x:v>D4</x:v>
      </x:c>
      <x:c r="B37" s="95" t="str">
        <x:v>OPD1</x:v>
      </x:c>
      <x:c r="C37" s="95" t="str">
        <x:v>stores:D4:group:GROUP-6</x:v>
      </x:c>
      <x:c r="D37" s="95" t="str">
        <x:v>timeframe</x:v>
      </x:c>
      <x:c r="E37" s="95" t="str">
        <x:v>Goods Cage</x:v>
      </x:c>
      <x:c r="F37" s="95" t="str"/>
      <x:c r="G37" s="95" t="str">
        <x:v>mon</x:v>
      </x:c>
      <x:c r="H37" s="95" t="str">
        <x:v>Yes</x:v>
      </x:c>
      <x:c r="I37" s="95" t="str">
        <x:v>06:00-16:00</x:v>
      </x:c>
      <x:c r="J37" s="95" t="n">
        <x:v>0</x:v>
      </x:c>
      <x:c r="K37" s="95" t="n">
        <x:v>0</x:v>
      </x:c>
      <x:c r="L37" s="95" t="str">
        <x:v>D49-STORES</x:v>
      </x:c>
      <x:c r="M37" s="95" t="str">
        <x:v>D4-STORES</x:v>
      </x:c>
      <x:c r="N37" s="95" t="str">
        <x:v>Yes</x:v>
      </x:c>
      <x:c r="O37" s="95" t="str">
        <x:v>Fortnightly deliveries - Monday</x:v>
      </x:c>
    </x:row>
    <x:row r="38" ht="48" customHeight="1">
      <x:c r="A38" s="95" t="str">
        <x:v>D11</x:v>
      </x:c>
      <x:c r="B38" s="95" t="str">
        <x:v>ED-Resus</x:v>
      </x:c>
      <x:c r="C38" s="95" t="str">
        <x:v>stores:D11:group:GROUP-7</x:v>
      </x:c>
      <x:c r="D38" s="95" t="str">
        <x:v>timeframe</x:v>
      </x:c>
      <x:c r="E38" s="95" t="str">
        <x:v>Goods Cage</x:v>
      </x:c>
      <x:c r="F38" s="95" t="str"/>
      <x:c r="G38" s="95" t="str">
        <x:v>tue</x:v>
      </x:c>
      <x:c r="H38" s="95" t="str">
        <x:v>Yes</x:v>
      </x:c>
      <x:c r="I38" s="95" t="str">
        <x:v>06:00-16:00</x:v>
      </x:c>
      <x:c r="J38" s="95" t="n">
        <x:v>0</x:v>
      </x:c>
      <x:c r="K38" s="95" t="n">
        <x:v>0</x:v>
      </x:c>
      <x:c r="L38" s="95" t="str">
        <x:v>D49-STORES</x:v>
      </x:c>
      <x:c r="M38" s="95" t="str">
        <x:v>D3-DROP-ZONE</x:v>
      </x:c>
      <x:c r="N38" s="95" t="str">
        <x:v>Yes</x:v>
      </x:c>
      <x:c r="O38" s="95" t="str">
        <x:v>Fortnightly delivery - Tuesday</x:v>
      </x:c>
    </x:row>
    <x:row r="39" ht="48" customHeight="1">
      <x:c r="A39" s="95" t="str">
        <x:v>D22</x:v>
      </x:c>
      <x:c r="B39" s="95" t="str">
        <x:v>Endoscopy</x:v>
      </x:c>
      <x:c r="C39" s="95" t="str">
        <x:v>stores:D22:group:GROUP-8</x:v>
      </x:c>
      <x:c r="D39" s="95" t="str">
        <x:v>timeframe</x:v>
      </x:c>
      <x:c r="E39" s="95" t="str">
        <x:v>Goods Cage</x:v>
      </x:c>
      <x:c r="F39" s="95" t="str"/>
      <x:c r="G39" s="95" t="str">
        <x:v>mon, thu</x:v>
      </x:c>
      <x:c r="H39" s="95" t="str">
        <x:v>No</x:v>
      </x:c>
      <x:c r="I39" s="95" t="str">
        <x:v>06:00-16:00</x:v>
      </x:c>
      <x:c r="J39" s="95" t="n">
        <x:v>0</x:v>
      </x:c>
      <x:c r="K39" s="95" t="n">
        <x:v>0</x:v>
      </x:c>
      <x:c r="L39" s="95" t="str">
        <x:v>D49-STORES</x:v>
      </x:c>
      <x:c r="M39" s="95" t="str">
        <x:v>D22-STORES</x:v>
      </x:c>
      <x:c r="N39" s="95" t="str">
        <x:v>Yes</x:v>
      </x:c>
      <x:c r="O39" s="95" t="str">
        <x:v>Twice weekly - Endoscopy</x:v>
      </x:c>
    </x:row>
    <x:row r="40" ht="48" customHeight="1">
      <x:c r="A40" s="95" t="str">
        <x:v>D12</x:v>
      </x:c>
      <x:c r="B40" s="95" t="str">
        <x:v>ED-Majors</x:v>
      </x:c>
      <x:c r="C40" s="95" t="str">
        <x:v>stores:D12:group:GROUP-9</x:v>
      </x:c>
      <x:c r="D40" s="95" t="str">
        <x:v>timeframe</x:v>
      </x:c>
      <x:c r="E40" s="95" t="str">
        <x:v>Goods Cage</x:v>
      </x:c>
      <x:c r="F40" s="95" t="str"/>
      <x:c r="G40" s="95" t="str">
        <x:v>wed, fri</x:v>
      </x:c>
      <x:c r="H40" s="95" t="str">
        <x:v>No</x:v>
      </x:c>
      <x:c r="I40" s="95" t="str">
        <x:v>06:00-16:00</x:v>
      </x:c>
      <x:c r="J40" s="95" t="n">
        <x:v>0</x:v>
      </x:c>
      <x:c r="K40" s="95" t="n">
        <x:v>0</x:v>
      </x:c>
      <x:c r="L40" s="95" t="str">
        <x:v>D49-STORES</x:v>
      </x:c>
      <x:c r="M40" s="95" t="str">
        <x:v>D3-DROP-ZONE</x:v>
      </x:c>
      <x:c r="N40" s="95" t="str">
        <x:v>Yes</x:v>
      </x:c>
      <x:c r="O40" s="95" t="str">
        <x:v>Twice weekly - ED Majors</x:v>
      </x:c>
    </x:row>
    <x:row r="41" ht="48" customHeight="1">
      <x:c r="A41" s="95" t="str">
        <x:v>D8</x:v>
      </x:c>
      <x:c r="B41" s="95" t="str">
        <x:v>Central Imaging</x:v>
      </x:c>
      <x:c r="C41" s="95" t="str">
        <x:v>stores:D8</x:v>
      </x:c>
      <x:c r="D41" s="95" t="str">
        <x:v>scheduled</x:v>
      </x:c>
      <x:c r="E41" s="95" t="str">
        <x:v>Goods Cage</x:v>
      </x:c>
      <x:c r="F41" s="95" t="str"/>
      <x:c r="G41" s="95" t="str">
        <x:v>mon</x:v>
      </x:c>
      <x:c r="H41" s="95" t="str">
        <x:v>No</x:v>
      </x:c>
      <x:c r="I41" s="95" t="str">
        <x:v>-</x:v>
      </x:c>
      <x:c r="J41" s="95" t="n">
        <x:v>0</x:v>
      </x:c>
      <x:c r="K41" s="95" t="n">
        <x:v>0</x:v>
      </x:c>
      <x:c r="L41" s="95" t="str">
        <x:v>D9-STORES</x:v>
      </x:c>
      <x:c r="M41" s="95" t="str">
        <x:v>D8-STORES</x:v>
      </x:c>
      <x:c r="N41" s="95" t="str">
        <x:v>Yes</x:v>
      </x:c>
      <x:c r="O41" s="95" t="str">
        <x:v>Goods deliveries - weekly Mondays</x:v>
      </x:c>
    </x:row>
    <x:row r="42" ht="48" customHeight="1">
      <x:c r="A42" s="95" t="str">
        <x:v>D13</x:v>
      </x:c>
      <x:c r="B42" s="95" t="str">
        <x:v>ED-Paediatrics</x:v>
      </x:c>
      <x:c r="C42" s="95" t="str">
        <x:v>stores:D13</x:v>
      </x:c>
      <x:c r="D42" s="95" t="str">
        <x:v>timeframe</x:v>
      </x:c>
      <x:c r="E42" s="95" t="str">
        <x:v>Goods Cage</x:v>
      </x:c>
      <x:c r="F42" s="95" t="str"/>
      <x:c r="G42" s="95" t="str">
        <x:v>tue</x:v>
      </x:c>
      <x:c r="H42" s="95" t="str">
        <x:v>Yes</x:v>
      </x:c>
      <x:c r="I42" s="95" t="str">
        <x:v>06:00-16:00</x:v>
      </x:c>
      <x:c r="J42" s="95" t="n">
        <x:v>0</x:v>
      </x:c>
      <x:c r="K42" s="95" t="n">
        <x:v>0</x:v>
      </x:c>
      <x:c r="L42" s="95" t="str">
        <x:v>D49-STORES</x:v>
      </x:c>
      <x:c r="M42" s="95" t="str">
        <x:v>D3-DROP-ZONE</x:v>
      </x:c>
      <x:c r="N42" s="95" t="str">
        <x:v>Yes</x:v>
      </x:c>
      <x:c r="O42" s="95" t="str">
        <x:v>Fortnightly delivery - Tuesday</x:v>
      </x:c>
    </x:row>
  </x:sheetData>
  <x:mergeCells>
    <x:mergeCell ref="A2:O2"/>
    <x:mergeCell ref="A3:O4"/>
  </x:mergeCells>
  <x:pageMargins left="0.7" right="0.7" top="0.75" bottom="0.75" header="0.3" footer="0.3"/>
  <x:tableParts count="1">
    <x:tablePart xmlns:r="http://schemas.openxmlformats.org/officeDocument/2006/relationships" r:id="Rdd845a26ad8949b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9" hidden="0" customWidth="1"/>
    <x:col min="3" max="3" width="25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  <x:c r="AA1" s="89"/>
      <x:c r="AB1" s="89"/>
    </x:row>
    <x:row r="2">
      <x:c r="A2" s="90" t="str">
        <x:v>Stores | Service timetable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  <x:c r="AA2" s="89"/>
      <x:c r="AB2" s="89"/>
    </x:row>
    <x:row r="3" ht="23" customHeight="1">
      <x:c r="A3" s="91" t="str">
        <x:v>Each hourly cell lists exact event times (HH:MM:SS); repeats are separate tasks. Orange = configuration schedule; blue = actual delivery; green = actual AMR collection. No categories are combined.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</x:row>
    <x:row r="5" ht="32" customHeight="1">
      <x:c r="A5" s="97" t="str">
        <x:v>Date</x:v>
      </x:c>
      <x:c r="B5" s="97" t="str">
        <x:v>Department</x:v>
      </x:c>
      <x:c r="C5" s="97" t="str">
        <x:v>Event</x:v>
      </x:c>
      <x:c r="D5" s="97" t="str">
        <x:v>Count</x:v>
      </x:c>
      <x:c r="E5" s="97" t="str">
        <x:v>00:00</x:v>
      </x:c>
      <x:c r="F5" s="97" t="str">
        <x:v>01:00</x:v>
      </x:c>
      <x:c r="G5" s="97" t="str">
        <x:v>02:00</x:v>
      </x:c>
      <x:c r="H5" s="97" t="str">
        <x:v>03:00</x:v>
      </x:c>
      <x:c r="I5" s="97" t="str">
        <x:v>04:00</x:v>
      </x:c>
      <x:c r="J5" s="97" t="str">
        <x:v>05:00</x:v>
      </x:c>
      <x:c r="K5" s="97" t="str">
        <x:v>06:00</x:v>
      </x:c>
      <x:c r="L5" s="97" t="str">
        <x:v>07:00</x:v>
      </x:c>
      <x:c r="M5" s="97" t="str">
        <x:v>08:00</x:v>
      </x:c>
      <x:c r="N5" s="97" t="str">
        <x:v>09:00</x:v>
      </x:c>
      <x:c r="O5" s="97" t="str">
        <x:v>10:00</x:v>
      </x:c>
      <x:c r="P5" s="97" t="str">
        <x:v>11:00</x:v>
      </x:c>
      <x:c r="Q5" s="97" t="str">
        <x:v>12:00</x:v>
      </x:c>
      <x:c r="R5" s="97" t="str">
        <x:v>13:00</x:v>
      </x:c>
      <x:c r="S5" s="97" t="str">
        <x:v>14:00</x:v>
      </x:c>
      <x:c r="T5" s="97" t="str">
        <x:v>15:00</x:v>
      </x:c>
      <x:c r="U5" s="97" t="str">
        <x:v>16:00</x:v>
      </x:c>
      <x:c r="V5" s="97" t="str">
        <x:v>17:00</x:v>
      </x:c>
      <x:c r="W5" s="97" t="str">
        <x:v>18:00</x:v>
      </x:c>
      <x:c r="X5" s="97" t="str">
        <x:v>19:00</x:v>
      </x:c>
      <x:c r="Y5" s="97" t="str">
        <x:v>20:00</x:v>
      </x:c>
      <x:c r="Z5" s="97" t="str">
        <x:v>21:00</x:v>
      </x:c>
      <x:c r="AA5" s="97" t="str">
        <x:v>22:00</x:v>
      </x:c>
      <x:c r="AB5" s="97" t="str">
        <x:v>23:00</x:v>
      </x:c>
    </x:row>
    <x:row r="6" ht="38" customHeight="1">
      <x:c r="A6" s="99" t="n">
        <x:v>46023</x:v>
      </x:c>
      <x:c r="B6" s="95" t="str">
        <x:v>D18 - Neonatal</x:v>
      </x:c>
      <x:c r="C6" s="95" t="str">
        <x:v>Actual collection</x:v>
      </x:c>
      <x:c r="D6" s="95" t="n">
        <x:v>3</x:v>
      </x:c>
      <x:c r="E6" s="95" t="str"/>
      <x:c r="F6" s="95" t="str"/>
      <x:c r="G6" s="95" t="str"/>
      <x:c r="H6" s="95" t="str"/>
      <x:c r="I6" s="95" t="str"/>
      <x:c r="J6" s="95" t="str"/>
      <x:c r="K6" s="95" t="str"/>
      <x:c r="L6" s="100" t="str">
        <x:v>07:11:18</x:v>
      </x:c>
      <x:c r="M6" s="100" t="str">
        <x:v>08:09:34
08:52:38</x:v>
      </x:c>
      <x:c r="N6" s="95" t="str"/>
      <x:c r="O6" s="95" t="str"/>
      <x:c r="P6" s="95" t="str"/>
      <x:c r="Q6" s="95" t="str"/>
      <x:c r="R6" s="95" t="str"/>
      <x:c r="S6" s="95" t="str"/>
      <x:c r="T6" s="95" t="str"/>
      <x:c r="U6" s="95" t="str"/>
      <x:c r="V6" s="95" t="str"/>
      <x:c r="W6" s="95" t="str"/>
      <x:c r="X6" s="95" t="str"/>
      <x:c r="Y6" s="95" t="str"/>
      <x:c r="Z6" s="95" t="str"/>
      <x:c r="AA6" s="95" t="str"/>
      <x:c r="AB6" s="95" t="str"/>
    </x:row>
    <x:row r="7" ht="38" customHeight="1">
      <x:c r="A7" s="99" t="n">
        <x:v>46023</x:v>
      </x:c>
      <x:c r="B7" s="95" t="str">
        <x:v>D18 - Neonatal</x:v>
      </x:c>
      <x:c r="C7" s="95" t="str">
        <x:v>Actual delivery</x:v>
      </x:c>
      <x:c r="D7" s="95" t="n">
        <x:v>3</x:v>
      </x:c>
      <x:c r="E7" s="95" t="str"/>
      <x:c r="F7" s="95" t="str"/>
      <x:c r="G7" s="95" t="str"/>
      <x:c r="H7" s="95" t="str"/>
      <x:c r="I7" s="95" t="str"/>
      <x:c r="J7" s="95" t="str"/>
      <x:c r="K7" s="101" t="str">
        <x:v>06:04:16</x:v>
      </x:c>
      <x:c r="L7" s="101" t="str">
        <x:v>07:04:03
07:49:06</x:v>
      </x:c>
      <x:c r="M7" s="95" t="str"/>
      <x:c r="N7" s="95" t="str"/>
      <x:c r="O7" s="95" t="str"/>
      <x:c r="P7" s="95" t="str"/>
      <x:c r="Q7" s="95" t="str"/>
      <x:c r="R7" s="95" t="str"/>
      <x:c r="S7" s="95" t="str"/>
      <x:c r="T7" s="95" t="str"/>
      <x:c r="U7" s="95" t="str"/>
      <x:c r="V7" s="95" t="str"/>
      <x:c r="W7" s="95" t="str"/>
      <x:c r="X7" s="95" t="str"/>
      <x:c r="Y7" s="95" t="str"/>
      <x:c r="Z7" s="95" t="str"/>
      <x:c r="AA7" s="95" t="str"/>
      <x:c r="AB7" s="95" t="str"/>
    </x:row>
    <x:row r="8" ht="28" customHeight="1">
      <x:c r="A8" s="99" t="n">
        <x:v>46023</x:v>
      </x:c>
      <x:c r="B8" s="95" t="str">
        <x:v>D22 - Endoscopy</x:v>
      </x:c>
      <x:c r="C8" s="95" t="str">
        <x:v>Actual collection</x:v>
      </x:c>
      <x:c r="D8" s="95" t="n">
        <x:v>3</x:v>
      </x:c>
      <x:c r="E8" s="95" t="str"/>
      <x:c r="F8" s="95" t="str"/>
      <x:c r="G8" s="95" t="str"/>
      <x:c r="H8" s="95" t="str"/>
      <x:c r="I8" s="95" t="str"/>
      <x:c r="J8" s="95" t="str"/>
      <x:c r="K8" s="95" t="str"/>
      <x:c r="L8" s="95" t="str"/>
      <x:c r="M8" s="95" t="str"/>
      <x:c r="N8" s="100" t="str">
        <x:v>09:39:19</x:v>
      </x:c>
      <x:c r="O8" s="100" t="str">
        <x:v>10:24:24</x:v>
      </x:c>
      <x:c r="P8" s="100" t="str">
        <x:v>11:06:57</x:v>
      </x:c>
      <x:c r="Q8" s="95" t="str"/>
      <x:c r="R8" s="95" t="str"/>
      <x:c r="S8" s="95" t="str"/>
      <x:c r="T8" s="95" t="str"/>
      <x:c r="U8" s="95" t="str"/>
      <x:c r="V8" s="95" t="str"/>
      <x:c r="W8" s="95" t="str"/>
      <x:c r="X8" s="95" t="str"/>
      <x:c r="Y8" s="95" t="str"/>
      <x:c r="Z8" s="95" t="str"/>
      <x:c r="AA8" s="95" t="str"/>
      <x:c r="AB8" s="95" t="str"/>
    </x:row>
    <x:row r="9" ht="38" customHeight="1">
      <x:c r="A9" s="99" t="n">
        <x:v>46023</x:v>
      </x:c>
      <x:c r="B9" s="95" t="str">
        <x:v>D22 - Endoscopy</x:v>
      </x:c>
      <x:c r="C9" s="95" t="str">
        <x:v>Actual delivery</x:v>
      </x:c>
      <x:c r="D9" s="95" t="n">
        <x:v>3</x:v>
      </x:c>
      <x:c r="E9" s="95" t="str"/>
      <x:c r="F9" s="95" t="str"/>
      <x:c r="G9" s="95" t="str"/>
      <x:c r="H9" s="95" t="str"/>
      <x:c r="I9" s="95" t="str"/>
      <x:c r="J9" s="95" t="str"/>
      <x:c r="K9" s="95" t="str"/>
      <x:c r="L9" s="95" t="str"/>
      <x:c r="M9" s="95" t="str"/>
      <x:c r="N9" s="101" t="str">
        <x:v>09:18:51</x:v>
      </x:c>
      <x:c r="O9" s="101" t="str">
        <x:v>10:04:07
10:48:49</x:v>
      </x:c>
      <x:c r="P9" s="95" t="str"/>
      <x:c r="Q9" s="95" t="str"/>
      <x:c r="R9" s="95" t="str"/>
      <x:c r="S9" s="95" t="str"/>
      <x:c r="T9" s="95" t="str"/>
      <x:c r="U9" s="95" t="str"/>
      <x:c r="V9" s="95" t="str"/>
      <x:c r="W9" s="95" t="str"/>
      <x:c r="X9" s="95" t="str"/>
      <x:c r="Y9" s="95" t="str"/>
      <x:c r="Z9" s="95" t="str"/>
      <x:c r="AA9" s="95" t="str"/>
      <x:c r="AB9" s="95" t="str"/>
    </x:row>
    <x:row r="10" ht="38" customHeight="1">
      <x:c r="A10" s="99" t="n">
        <x:v>46023</x:v>
      </x:c>
      <x:c r="B10" s="95" t="str">
        <x:v>D29 - Paediatric Inpatients</x:v>
      </x:c>
      <x:c r="C10" s="95" t="str">
        <x:v>Actual collection</x:v>
      </x:c>
      <x:c r="D10" s="95" t="n">
        <x:v>3</x:v>
      </x:c>
      <x:c r="E10" s="95" t="str"/>
      <x:c r="F10" s="95" t="str"/>
      <x:c r="G10" s="95" t="str"/>
      <x:c r="H10" s="95" t="str"/>
      <x:c r="I10" s="95" t="str"/>
      <x:c r="J10" s="95" t="str"/>
      <x:c r="K10" s="95" t="str"/>
      <x:c r="L10" s="95" t="str"/>
      <x:c r="M10" s="95" t="str"/>
      <x:c r="N10" s="95" t="str"/>
      <x:c r="O10" s="95" t="str"/>
      <x:c r="P10" s="95" t="str"/>
      <x:c r="Q10" s="100" t="str">
        <x:v>12:12:17</x:v>
      </x:c>
      <x:c r="R10" s="100" t="str">
        <x:v>13:11:46
13:54:55</x:v>
      </x:c>
      <x:c r="S10" s="95" t="str"/>
      <x:c r="T10" s="95" t="str"/>
      <x:c r="U10" s="95" t="str"/>
      <x:c r="V10" s="95" t="str"/>
      <x:c r="W10" s="95" t="str"/>
      <x:c r="X10" s="95" t="str"/>
      <x:c r="Y10" s="95" t="str"/>
      <x:c r="Z10" s="95" t="str"/>
      <x:c r="AA10" s="95" t="str"/>
      <x:c r="AB10" s="95" t="str"/>
    </x:row>
    <x:row r="11" ht="38" customHeight="1">
      <x:c r="A11" s="99" t="n">
        <x:v>46023</x:v>
      </x:c>
      <x:c r="B11" s="95" t="str">
        <x:v>D29 - Paediatric Inpatients</x:v>
      </x:c>
      <x:c r="C11" s="95" t="str">
        <x:v>Actual delivery</x:v>
      </x:c>
      <x:c r="D11" s="95" t="n">
        <x:v>3</x:v>
      </x:c>
      <x:c r="E11" s="95" t="str"/>
      <x:c r="F11" s="95" t="str"/>
      <x:c r="G11" s="95" t="str"/>
      <x:c r="H11" s="95" t="str"/>
      <x:c r="I11" s="95" t="str"/>
      <x:c r="J11" s="95" t="str"/>
      <x:c r="K11" s="95" t="str"/>
      <x:c r="L11" s="95" t="str"/>
      <x:c r="M11" s="95" t="str"/>
      <x:c r="N11" s="95" t="str"/>
      <x:c r="O11" s="95" t="str"/>
      <x:c r="P11" s="101" t="str">
        <x:v>11:07:48</x:v>
      </x:c>
      <x:c r="Q11" s="101" t="str">
        <x:v>12:05:11
12:50:15</x:v>
      </x:c>
      <x:c r="R11" s="95" t="str"/>
      <x:c r="S11" s="95" t="str"/>
      <x:c r="T11" s="95" t="str"/>
      <x:c r="U11" s="95" t="str"/>
      <x:c r="V11" s="95" t="str"/>
      <x:c r="W11" s="95" t="str"/>
      <x:c r="X11" s="95" t="str"/>
      <x:c r="Y11" s="95" t="str"/>
      <x:c r="Z11" s="95" t="str"/>
      <x:c r="AA11" s="95" t="str"/>
      <x:c r="AB11" s="95" t="str"/>
    </x:row>
    <x:row r="12" ht="28" customHeight="1">
      <x:c r="A12" s="99" t="n">
        <x:v>46023</x:v>
      </x:c>
      <x:c r="B12" s="95" t="str">
        <x:v>D31 - Adult Inpatients 1</x:v>
      </x:c>
      <x:c r="C12" s="95" t="str">
        <x:v>Actual collection</x:v>
      </x:c>
      <x:c r="D12" s="95" t="n">
        <x:v>3</x:v>
      </x:c>
      <x:c r="E12" s="95" t="str"/>
      <x:c r="F12" s="95" t="str"/>
      <x:c r="G12" s="95" t="str"/>
      <x:c r="H12" s="95" t="str"/>
      <x:c r="I12" s="95" t="str"/>
      <x:c r="J12" s="95" t="str"/>
      <x:c r="K12" s="95" t="str"/>
      <x:c r="L12" s="95" t="str"/>
      <x:c r="M12" s="95" t="str"/>
      <x:c r="N12" s="95" t="str"/>
      <x:c r="O12" s="95" t="str"/>
      <x:c r="P12" s="95" t="str"/>
      <x:c r="Q12" s="95" t="str"/>
      <x:c r="R12" s="95" t="str"/>
      <x:c r="S12" s="100" t="str">
        <x:v>14:37:51</x:v>
      </x:c>
      <x:c r="T12" s="100" t="str">
        <x:v>15:37:48</x:v>
      </x:c>
      <x:c r="U12" s="100" t="str">
        <x:v>16:22:43</x:v>
      </x:c>
      <x:c r="V12" s="95" t="str"/>
      <x:c r="W12" s="95" t="str"/>
      <x:c r="X12" s="95" t="str"/>
      <x:c r="Y12" s="95" t="str"/>
      <x:c r="Z12" s="95" t="str"/>
      <x:c r="AA12" s="95" t="str"/>
      <x:c r="AB12" s="95" t="str"/>
    </x:row>
    <x:row r="13" ht="28" customHeight="1">
      <x:c r="A13" s="99" t="n">
        <x:v>46023</x:v>
      </x:c>
      <x:c r="B13" s="95" t="str">
        <x:v>D31 - Adult Inpatients 1</x:v>
      </x:c>
      <x:c r="C13" s="95" t="str">
        <x:v>Actual delivery</x:v>
      </x:c>
      <x:c r="D13" s="95" t="n">
        <x:v>3</x:v>
      </x:c>
      <x:c r="E13" s="95" t="str"/>
      <x:c r="F13" s="95" t="str"/>
      <x:c r="G13" s="95" t="str"/>
      <x:c r="H13" s="95" t="str"/>
      <x:c r="I13" s="95" t="str"/>
      <x:c r="J13" s="95" t="str"/>
      <x:c r="K13" s="95" t="str"/>
      <x:c r="L13" s="95" t="str"/>
      <x:c r="M13" s="95" t="str"/>
      <x:c r="N13" s="95" t="str"/>
      <x:c r="O13" s="95" t="str"/>
      <x:c r="P13" s="95" t="str"/>
      <x:c r="Q13" s="95" t="str"/>
      <x:c r="R13" s="101" t="str">
        <x:v>13:34:14</x:v>
      </x:c>
      <x:c r="S13" s="101" t="str">
        <x:v>14:34:17</x:v>
      </x:c>
      <x:c r="T13" s="101" t="str">
        <x:v>15:19:12</x:v>
      </x:c>
      <x:c r="U13" s="95" t="str"/>
      <x:c r="V13" s="95" t="str"/>
      <x:c r="W13" s="95" t="str"/>
      <x:c r="X13" s="95" t="str"/>
      <x:c r="Y13" s="95" t="str"/>
      <x:c r="Z13" s="95" t="str"/>
      <x:c r="AA13" s="95" t="str"/>
      <x:c r="AB13" s="95" t="str"/>
    </x:row>
    <x:row r="14" ht="38" customHeight="1">
      <x:c r="A14" s="99" t="n">
        <x:v>46024</x:v>
      </x:c>
      <x:c r="B14" s="95" t="str">
        <x:v>D1 - Fraility</x:v>
      </x:c>
      <x:c r="C14" s="95" t="str">
        <x:v>Actual collection</x:v>
      </x:c>
      <x:c r="D14" s="95" t="n">
        <x:v>3</x:v>
      </x:c>
      <x:c r="E14" s="95" t="str"/>
      <x:c r="F14" s="95" t="str"/>
      <x:c r="G14" s="95" t="str"/>
      <x:c r="H14" s="95" t="str"/>
      <x:c r="I14" s="95" t="str"/>
      <x:c r="J14" s="95" t="str"/>
      <x:c r="K14" s="95" t="str"/>
      <x:c r="L14" s="95" t="str"/>
      <x:c r="M14" s="100" t="str">
        <x:v>08:40:14</x:v>
      </x:c>
      <x:c r="N14" s="100" t="str">
        <x:v>09:11:13
09:46:15</x:v>
      </x:c>
      <x:c r="O14" s="95" t="str"/>
      <x:c r="P14" s="95" t="str"/>
      <x:c r="Q14" s="95" t="str"/>
      <x:c r="R14" s="95" t="str"/>
      <x:c r="S14" s="95" t="str"/>
      <x:c r="T14" s="95" t="str"/>
      <x:c r="U14" s="95" t="str"/>
      <x:c r="V14" s="95" t="str"/>
      <x:c r="W14" s="95" t="str"/>
      <x:c r="X14" s="95" t="str"/>
      <x:c r="Y14" s="95" t="str"/>
      <x:c r="Z14" s="95" t="str"/>
      <x:c r="AA14" s="95" t="str"/>
      <x:c r="AB14" s="95" t="str"/>
    </x:row>
    <x:row r="15" ht="38" customHeight="1">
      <x:c r="A15" s="99" t="n">
        <x:v>46024</x:v>
      </x:c>
      <x:c r="B15" s="95" t="str">
        <x:v>D1 - Fraility</x:v>
      </x:c>
      <x:c r="C15" s="95" t="str">
        <x:v>Actual delivery</x:v>
      </x:c>
      <x:c r="D15" s="95" t="n">
        <x:v>3</x:v>
      </x:c>
      <x:c r="E15" s="95" t="str"/>
      <x:c r="F15" s="95" t="str"/>
      <x:c r="G15" s="95" t="str"/>
      <x:c r="H15" s="95" t="str"/>
      <x:c r="I15" s="95" t="str"/>
      <x:c r="J15" s="95" t="str"/>
      <x:c r="K15" s="95" t="str"/>
      <x:c r="L15" s="101" t="str">
        <x:v>07:34:44</x:v>
      </x:c>
      <x:c r="M15" s="101" t="str">
        <x:v>08:04:44
08:34:46</x:v>
      </x:c>
      <x:c r="N15" s="95" t="str"/>
      <x:c r="O15" s="95" t="str"/>
      <x:c r="P15" s="95" t="str"/>
      <x:c r="Q15" s="95" t="str"/>
      <x:c r="R15" s="95" t="str"/>
      <x:c r="S15" s="95" t="str"/>
      <x:c r="T15" s="95" t="str"/>
      <x:c r="U15" s="95" t="str"/>
      <x:c r="V15" s="95" t="str"/>
      <x:c r="W15" s="95" t="str"/>
      <x:c r="X15" s="95" t="str"/>
      <x:c r="Y15" s="95" t="str"/>
      <x:c r="Z15" s="95" t="str"/>
      <x:c r="AA15" s="95" t="str"/>
      <x:c r="AB15" s="95" t="str"/>
    </x:row>
    <x:row r="16" ht="38" customHeight="1">
      <x:c r="A16" s="99" t="n">
        <x:v>46024</x:v>
      </x:c>
      <x:c r="B16" s="95" t="str">
        <x:v>D12 - ED-Majors</x:v>
      </x:c>
      <x:c r="C16" s="95" t="str">
        <x:v>Actual collection</x:v>
      </x:c>
      <x:c r="D16" s="95" t="n">
        <x:v>3</x:v>
      </x:c>
      <x:c r="E16" s="95" t="str"/>
      <x:c r="F16" s="95" t="str"/>
      <x:c r="G16" s="95" t="str"/>
      <x:c r="H16" s="95" t="str"/>
      <x:c r="I16" s="95" t="str"/>
      <x:c r="J16" s="95" t="str"/>
      <x:c r="K16" s="100" t="str">
        <x:v>06:24:48
06:55:10</x:v>
      </x:c>
      <x:c r="L16" s="100" t="str">
        <x:v>07:25:10</x:v>
      </x:c>
      <x:c r="M16" s="95" t="str"/>
      <x:c r="N16" s="95" t="str"/>
      <x:c r="O16" s="95" t="str"/>
      <x:c r="P16" s="95" t="str"/>
      <x:c r="Q16" s="95" t="str"/>
      <x:c r="R16" s="95" t="str"/>
      <x:c r="S16" s="95" t="str"/>
      <x:c r="T16" s="95" t="str"/>
      <x:c r="U16" s="95" t="str"/>
      <x:c r="V16" s="95" t="str"/>
      <x:c r="W16" s="95" t="str"/>
      <x:c r="X16" s="95" t="str"/>
      <x:c r="Y16" s="95" t="str"/>
      <x:c r="Z16" s="95" t="str"/>
      <x:c r="AA16" s="95" t="str"/>
      <x:c r="AB16" s="95" t="str"/>
    </x:row>
    <x:row r="17" ht="38" customHeight="1">
      <x:c r="A17" s="99" t="n">
        <x:v>46024</x:v>
      </x:c>
      <x:c r="B17" s="95" t="str">
        <x:v>D12 - ED-Majors</x:v>
      </x:c>
      <x:c r="C17" s="95" t="str">
        <x:v>Actual delivery</x:v>
      </x:c>
      <x:c r="D17" s="95" t="n">
        <x:v>3</x:v>
      </x:c>
      <x:c r="E17" s="95" t="str"/>
      <x:c r="F17" s="95" t="str"/>
      <x:c r="G17" s="95" t="str"/>
      <x:c r="H17" s="95" t="str"/>
      <x:c r="I17" s="95" t="str"/>
      <x:c r="J17" s="95" t="str"/>
      <x:c r="K17" s="101" t="str">
        <x:v>06:05:11
06:35:11</x:v>
      </x:c>
      <x:c r="L17" s="101" t="str">
        <x:v>07:05:11</x:v>
      </x:c>
      <x:c r="M17" s="95" t="str"/>
      <x:c r="N17" s="95" t="str"/>
      <x:c r="O17" s="95" t="str"/>
      <x:c r="P17" s="95" t="str"/>
      <x:c r="Q17" s="95" t="str"/>
      <x:c r="R17" s="95" t="str"/>
      <x:c r="S17" s="95" t="str"/>
      <x:c r="T17" s="95" t="str"/>
      <x:c r="U17" s="95" t="str"/>
      <x:c r="V17" s="95" t="str"/>
      <x:c r="W17" s="95" t="str"/>
      <x:c r="X17" s="95" t="str"/>
      <x:c r="Y17" s="95" t="str"/>
      <x:c r="Z17" s="95" t="str"/>
      <x:c r="AA17" s="95" t="str"/>
      <x:c r="AB17" s="95" t="str"/>
    </x:row>
    <x:row r="18" ht="38" customHeight="1">
      <x:c r="A18" s="99" t="n">
        <x:v>46024</x:v>
      </x:c>
      <x:c r="B18" s="95" t="str">
        <x:v>D20 - Theatres</x:v>
      </x:c>
      <x:c r="C18" s="95" t="str">
        <x:v>Actual collection</x:v>
      </x:c>
      <x:c r="D18" s="95" t="n">
        <x:v>3</x:v>
      </x:c>
      <x:c r="E18" s="95" t="str"/>
      <x:c r="F18" s="95" t="str"/>
      <x:c r="G18" s="95" t="str"/>
      <x:c r="H18" s="95" t="str"/>
      <x:c r="I18" s="95" t="str"/>
      <x:c r="J18" s="95" t="str"/>
      <x:c r="K18" s="95" t="str"/>
      <x:c r="L18" s="95" t="str"/>
      <x:c r="M18" s="95" t="str"/>
      <x:c r="N18" s="95" t="str"/>
      <x:c r="O18" s="100" t="str">
        <x:v>10:11:43
10:37:41</x:v>
      </x:c>
      <x:c r="P18" s="100" t="str">
        <x:v>11:14:08</x:v>
      </x:c>
      <x:c r="Q18" s="95" t="str"/>
      <x:c r="R18" s="95" t="str"/>
      <x:c r="S18" s="95" t="str"/>
      <x:c r="T18" s="95" t="str"/>
      <x:c r="U18" s="95" t="str"/>
      <x:c r="V18" s="95" t="str"/>
      <x:c r="W18" s="95" t="str"/>
      <x:c r="X18" s="95" t="str"/>
      <x:c r="Y18" s="95" t="str"/>
      <x:c r="Z18" s="95" t="str"/>
      <x:c r="AA18" s="95" t="str"/>
      <x:c r="AB18" s="95" t="str"/>
    </x:row>
    <x:row r="19" ht="38" customHeight="1">
      <x:c r="A19" s="99" t="n">
        <x:v>46024</x:v>
      </x:c>
      <x:c r="B19" s="95" t="str">
        <x:v>D20 - Theatres</x:v>
      </x:c>
      <x:c r="C19" s="95" t="str">
        <x:v>Actual delivery</x:v>
      </x:c>
      <x:c r="D19" s="95" t="n">
        <x:v>3</x:v>
      </x:c>
      <x:c r="E19" s="95" t="str"/>
      <x:c r="F19" s="95" t="str"/>
      <x:c r="G19" s="95" t="str"/>
      <x:c r="H19" s="95" t="str"/>
      <x:c r="I19" s="95" t="str"/>
      <x:c r="J19" s="95" t="str"/>
      <x:c r="K19" s="95" t="str"/>
      <x:c r="L19" s="95" t="str"/>
      <x:c r="M19" s="95" t="str"/>
      <x:c r="N19" s="101" t="str">
        <x:v>09:04:11
09:34:04</x:v>
      </x:c>
      <x:c r="O19" s="101" t="str">
        <x:v>10:04:04</x:v>
      </x:c>
      <x:c r="P19" s="95" t="str"/>
      <x:c r="Q19" s="95" t="str"/>
      <x:c r="R19" s="95" t="str"/>
      <x:c r="S19" s="95" t="str"/>
      <x:c r="T19" s="95" t="str"/>
      <x:c r="U19" s="95" t="str"/>
      <x:c r="V19" s="95" t="str"/>
      <x:c r="W19" s="95" t="str"/>
      <x:c r="X19" s="95" t="str"/>
      <x:c r="Y19" s="95" t="str"/>
      <x:c r="Z19" s="95" t="str"/>
      <x:c r="AA19" s="95" t="str"/>
      <x:c r="AB19" s="95" t="str"/>
    </x:row>
    <x:row r="20" ht="38" customHeight="1">
      <x:c r="A20" s="99" t="n">
        <x:v>46024</x:v>
      </x:c>
      <x:c r="B20" s="95" t="str">
        <x:v>D32 - Adult Inpatients 2</x:v>
      </x:c>
      <x:c r="C20" s="95" t="str">
        <x:v>Actual collection</x:v>
      </x:c>
      <x:c r="D20" s="95" t="n">
        <x:v>3</x:v>
      </x:c>
      <x:c r="E20" s="95" t="str"/>
      <x:c r="F20" s="95" t="str"/>
      <x:c r="G20" s="95" t="str"/>
      <x:c r="H20" s="95" t="str"/>
      <x:c r="I20" s="95" t="str"/>
      <x:c r="J20" s="95" t="str"/>
      <x:c r="K20" s="95" t="str"/>
      <x:c r="L20" s="95" t="str"/>
      <x:c r="M20" s="95" t="str"/>
      <x:c r="N20" s="95" t="str"/>
      <x:c r="O20" s="95" t="str"/>
      <x:c r="P20" s="100" t="str">
        <x:v>11:38:02</x:v>
      </x:c>
      <x:c r="Q20" s="100" t="str">
        <x:v>12:25:49
12:28:01</x:v>
      </x:c>
      <x:c r="R20" s="95" t="str"/>
      <x:c r="S20" s="95" t="str"/>
      <x:c r="T20" s="95" t="str"/>
      <x:c r="U20" s="95" t="str"/>
      <x:c r="V20" s="95" t="str"/>
      <x:c r="W20" s="95" t="str"/>
      <x:c r="X20" s="95" t="str"/>
      <x:c r="Y20" s="95" t="str"/>
      <x:c r="Z20" s="95" t="str"/>
      <x:c r="AA20" s="95" t="str"/>
      <x:c r="AB20" s="95" t="str"/>
    </x:row>
    <x:row r="21" ht="38" customHeight="1">
      <x:c r="A21" s="99" t="n">
        <x:v>46024</x:v>
      </x:c>
      <x:c r="B21" s="95" t="str">
        <x:v>D32 - Adult Inpatients 2</x:v>
      </x:c>
      <x:c r="C21" s="95" t="str">
        <x:v>Actual delivery</x:v>
      </x:c>
      <x:c r="D21" s="95" t="n">
        <x:v>3</x:v>
      </x:c>
      <x:c r="E21" s="95" t="str"/>
      <x:c r="F21" s="95" t="str"/>
      <x:c r="G21" s="95" t="str"/>
      <x:c r="H21" s="95" t="str"/>
      <x:c r="I21" s="95" t="str"/>
      <x:c r="J21" s="95" t="str"/>
      <x:c r="K21" s="95" t="str"/>
      <x:c r="L21" s="95" t="str"/>
      <x:c r="M21" s="95" t="str"/>
      <x:c r="N21" s="95" t="str"/>
      <x:c r="O21" s="101" t="str">
        <x:v>10:34:20</x:v>
      </x:c>
      <x:c r="P21" s="101" t="str">
        <x:v>11:05:12
11:23:29</x:v>
      </x:c>
      <x:c r="Q21" s="95" t="str"/>
      <x:c r="R21" s="95" t="str"/>
      <x:c r="S21" s="95" t="str"/>
      <x:c r="T21" s="95" t="str"/>
      <x:c r="U21" s="95" t="str"/>
      <x:c r="V21" s="95" t="str"/>
      <x:c r="W21" s="95" t="str"/>
      <x:c r="X21" s="95" t="str"/>
      <x:c r="Y21" s="95" t="str"/>
      <x:c r="Z21" s="95" t="str"/>
      <x:c r="AA21" s="95" t="str"/>
      <x:c r="AB21" s="95" t="str"/>
    </x:row>
    <x:row r="22" ht="38" customHeight="1">
      <x:c r="A22" s="99" t="n">
        <x:v>46024</x:v>
      </x:c>
      <x:c r="B22" s="95" t="str">
        <x:v>D33 - Adult Inpatients 3</x:v>
      </x:c>
      <x:c r="C22" s="95" t="str">
        <x:v>Actual collection</x:v>
      </x:c>
      <x:c r="D22" s="95" t="n">
        <x:v>3</x:v>
      </x:c>
      <x:c r="E22" s="95" t="str"/>
      <x:c r="F22" s="95" t="str"/>
      <x:c r="G22" s="95" t="str"/>
      <x:c r="H22" s="95" t="str"/>
      <x:c r="I22" s="95" t="str"/>
      <x:c r="J22" s="95" t="str"/>
      <x:c r="K22" s="95" t="str"/>
      <x:c r="L22" s="95" t="str"/>
      <x:c r="M22" s="95" t="str"/>
      <x:c r="N22" s="95" t="str"/>
      <x:c r="O22" s="95" t="str"/>
      <x:c r="P22" s="95" t="str"/>
      <x:c r="Q22" s="100" t="str">
        <x:v>12:52:06</x:v>
      </x:c>
      <x:c r="R22" s="100" t="str">
        <x:v>13:26:05
13:56:33</x:v>
      </x:c>
      <x:c r="S22" s="95" t="str"/>
      <x:c r="T22" s="95" t="str"/>
      <x:c r="U22" s="95" t="str"/>
      <x:c r="V22" s="95" t="str"/>
      <x:c r="W22" s="95" t="str"/>
      <x:c r="X22" s="95" t="str"/>
      <x:c r="Y22" s="95" t="str"/>
      <x:c r="Z22" s="95" t="str"/>
      <x:c r="AA22" s="95" t="str"/>
      <x:c r="AB22" s="95" t="str"/>
    </x:row>
    <x:row r="23" ht="38" customHeight="1">
      <x:c r="A23" s="99" t="n">
        <x:v>46024</x:v>
      </x:c>
      <x:c r="B23" s="95" t="str">
        <x:v>D33 - Adult Inpatients 3</x:v>
      </x:c>
      <x:c r="C23" s="95" t="str">
        <x:v>Actual delivery</x:v>
      </x:c>
      <x:c r="D23" s="95" t="n">
        <x:v>3</x:v>
      </x:c>
      <x:c r="E23" s="95" t="str"/>
      <x:c r="F23" s="95" t="str"/>
      <x:c r="G23" s="95" t="str"/>
      <x:c r="H23" s="95" t="str"/>
      <x:c r="I23" s="95" t="str"/>
      <x:c r="J23" s="95" t="str"/>
      <x:c r="K23" s="95" t="str"/>
      <x:c r="L23" s="95" t="str"/>
      <x:c r="M23" s="95" t="str"/>
      <x:c r="N23" s="95" t="str"/>
      <x:c r="O23" s="95" t="str"/>
      <x:c r="P23" s="101" t="str">
        <x:v>11:49:37</x:v>
      </x:c>
      <x:c r="Q23" s="101" t="str">
        <x:v>12:19:47
12:52:26</x:v>
      </x:c>
      <x:c r="R23" s="95" t="str"/>
      <x:c r="S23" s="95" t="str"/>
      <x:c r="T23" s="95" t="str"/>
      <x:c r="U23" s="95" t="str"/>
      <x:c r="V23" s="95" t="str"/>
      <x:c r="W23" s="95" t="str"/>
      <x:c r="X23" s="95" t="str"/>
      <x:c r="Y23" s="95" t="str"/>
      <x:c r="Z23" s="95" t="str"/>
      <x:c r="AA23" s="95" t="str"/>
      <x:c r="AB23" s="95" t="str"/>
    </x:row>
    <x:row r="24" ht="38" customHeight="1">
      <x:c r="A24" s="99" t="n">
        <x:v>46024</x:v>
      </x:c>
      <x:c r="B24" s="95" t="str">
        <x:v>D34 - Adult Inpatients 4</x:v>
      </x:c>
      <x:c r="C24" s="95" t="str">
        <x:v>Actual collection</x:v>
      </x:c>
      <x:c r="D24" s="95" t="n">
        <x:v>3</x:v>
      </x:c>
      <x:c r="E24" s="95" t="str"/>
      <x:c r="F24" s="95" t="str"/>
      <x:c r="G24" s="95" t="str"/>
      <x:c r="H24" s="95" t="str"/>
      <x:c r="I24" s="95" t="str"/>
      <x:c r="J24" s="95" t="str"/>
      <x:c r="K24" s="95" t="str"/>
      <x:c r="L24" s="95" t="str"/>
      <x:c r="M24" s="95" t="str"/>
      <x:c r="N24" s="95" t="str"/>
      <x:c r="O24" s="95" t="str"/>
      <x:c r="P24" s="95" t="str"/>
      <x:c r="Q24" s="95" t="str"/>
      <x:c r="R24" s="95" t="str"/>
      <x:c r="S24" s="100" t="str">
        <x:v>14:26:01
14:54:04</x:v>
      </x:c>
      <x:c r="T24" s="100" t="str">
        <x:v>15:24:56</x:v>
      </x:c>
      <x:c r="U24" s="95" t="str"/>
      <x:c r="V24" s="95" t="str"/>
      <x:c r="W24" s="95" t="str"/>
      <x:c r="X24" s="95" t="str"/>
      <x:c r="Y24" s="95" t="str"/>
      <x:c r="Z24" s="95" t="str"/>
      <x:c r="AA24" s="95" t="str"/>
      <x:c r="AB24" s="95" t="str"/>
    </x:row>
    <x:row r="25" ht="38" customHeight="1">
      <x:c r="A25" s="99" t="n">
        <x:v>46024</x:v>
      </x:c>
      <x:c r="B25" s="95" t="str">
        <x:v>D34 - Adult Inpatients 4</x:v>
      </x:c>
      <x:c r="C25" s="95" t="str">
        <x:v>Actual delivery</x:v>
      </x:c>
      <x:c r="D25" s="95" t="n">
        <x:v>3</x:v>
      </x:c>
      <x:c r="E25" s="95" t="str"/>
      <x:c r="F25" s="95" t="str"/>
      <x:c r="G25" s="95" t="str"/>
      <x:c r="H25" s="95" t="str"/>
      <x:c r="I25" s="95" t="str"/>
      <x:c r="J25" s="95" t="str"/>
      <x:c r="K25" s="95" t="str"/>
      <x:c r="L25" s="95" t="str"/>
      <x:c r="M25" s="95" t="str"/>
      <x:c r="N25" s="95" t="str"/>
      <x:c r="O25" s="95" t="str"/>
      <x:c r="P25" s="95" t="str"/>
      <x:c r="Q25" s="95" t="str"/>
      <x:c r="R25" s="101" t="str">
        <x:v>13:19:47
13:49:55</x:v>
      </x:c>
      <x:c r="S25" s="101" t="str">
        <x:v>14:19:40</x:v>
      </x:c>
      <x:c r="T25" s="95" t="str"/>
      <x:c r="U25" s="95" t="str"/>
      <x:c r="V25" s="95" t="str"/>
      <x:c r="W25" s="95" t="str"/>
      <x:c r="X25" s="95" t="str"/>
      <x:c r="Y25" s="95" t="str"/>
      <x:c r="Z25" s="95" t="str"/>
      <x:c r="AA25" s="95" t="str"/>
      <x:c r="AB25" s="95" t="str"/>
    </x:row>
    <x:row r="26" ht="38" customHeight="1">
      <x:c r="A26" s="99" t="n">
        <x:v>46024</x:v>
      </x:c>
      <x:c r="B26" s="95" t="str">
        <x:v>D37 - Adult Inpatients 5</x:v>
      </x:c>
      <x:c r="C26" s="95" t="str">
        <x:v>Actual collection</x:v>
      </x:c>
      <x:c r="D26" s="95" t="n">
        <x:v>3</x:v>
      </x:c>
      <x:c r="E26" s="95" t="str"/>
      <x:c r="F26" s="95" t="str"/>
      <x:c r="G26" s="95" t="str"/>
      <x:c r="H26" s="95" t="str"/>
      <x:c r="I26" s="95" t="str"/>
      <x:c r="J26" s="95" t="str"/>
      <x:c r="K26" s="95" t="str"/>
      <x:c r="L26" s="95" t="str"/>
      <x:c r="M26" s="95" t="str"/>
      <x:c r="N26" s="95" t="str"/>
      <x:c r="O26" s="95" t="str"/>
      <x:c r="P26" s="95" t="str"/>
      <x:c r="Q26" s="95" t="str"/>
      <x:c r="R26" s="95" t="str"/>
      <x:c r="S26" s="95" t="str"/>
      <x:c r="T26" s="100" t="str">
        <x:v>15:52:32</x:v>
      </x:c>
      <x:c r="U26" s="100" t="str">
        <x:v>16:22:14
16:52:15</x:v>
      </x:c>
      <x:c r="V26" s="95" t="str"/>
      <x:c r="W26" s="95" t="str"/>
      <x:c r="X26" s="95" t="str"/>
      <x:c r="Y26" s="95" t="str"/>
      <x:c r="Z26" s="95" t="str"/>
      <x:c r="AA26" s="95" t="str"/>
      <x:c r="AB26" s="95" t="str"/>
    </x:row>
    <x:row r="27" ht="38" customHeight="1">
      <x:c r="A27" s="99" t="n">
        <x:v>46024</x:v>
      </x:c>
      <x:c r="B27" s="95" t="str">
        <x:v>D37 - Adult Inpatients 5</x:v>
      </x:c>
      <x:c r="C27" s="95" t="str">
        <x:v>Actual delivery</x:v>
      </x:c>
      <x:c r="D27" s="95" t="n">
        <x:v>3</x:v>
      </x:c>
      <x:c r="E27" s="95" t="str"/>
      <x:c r="F27" s="95" t="str"/>
      <x:c r="G27" s="95" t="str"/>
      <x:c r="H27" s="95" t="str"/>
      <x:c r="I27" s="95" t="str"/>
      <x:c r="J27" s="95" t="str"/>
      <x:c r="K27" s="95" t="str"/>
      <x:c r="L27" s="95" t="str"/>
      <x:c r="M27" s="95" t="str"/>
      <x:c r="N27" s="95" t="str"/>
      <x:c r="O27" s="95" t="str"/>
      <x:c r="P27" s="95" t="str"/>
      <x:c r="Q27" s="95" t="str"/>
      <x:c r="R27" s="95" t="str"/>
      <x:c r="S27" s="101" t="str">
        <x:v>14:49:08</x:v>
      </x:c>
      <x:c r="T27" s="101" t="str">
        <x:v>15:18:54
15:48:55</x:v>
      </x:c>
      <x:c r="U27" s="95" t="str"/>
      <x:c r="V27" s="95" t="str"/>
      <x:c r="W27" s="95" t="str"/>
      <x:c r="X27" s="95" t="str"/>
      <x:c r="Y27" s="95" t="str"/>
      <x:c r="Z27" s="95" t="str"/>
      <x:c r="AA27" s="95" t="str"/>
      <x:c r="AB27" s="95" t="str"/>
    </x:row>
    <x:row r="28" ht="53" customHeight="1">
      <x:c r="A28" s="99" t="n">
        <x:v>46027</x:v>
      </x:c>
      <x:c r="B28" s="95" t="str">
        <x:v>D14 - ED-Imaging</x:v>
      </x:c>
      <x:c r="C28" s="95" t="str">
        <x:v>Actual collection</x:v>
      </x:c>
      <x:c r="D28" s="95" t="n">
        <x:v>3</x:v>
      </x:c>
      <x:c r="E28" s="95" t="str"/>
      <x:c r="F28" s="95" t="str"/>
      <x:c r="G28" s="95" t="str"/>
      <x:c r="H28" s="95" t="str"/>
      <x:c r="I28" s="95" t="str"/>
      <x:c r="J28" s="95" t="str"/>
      <x:c r="K28" s="95" t="str"/>
      <x:c r="L28" s="100" t="str">
        <x:v>07:07:54
07:35:23
07:50:31</x:v>
      </x:c>
      <x:c r="M28" s="95" t="str"/>
      <x:c r="N28" s="95" t="str"/>
      <x:c r="O28" s="95" t="str"/>
      <x:c r="P28" s="95" t="str"/>
      <x:c r="Q28" s="95" t="str"/>
      <x:c r="R28" s="95" t="str"/>
      <x:c r="S28" s="95" t="str"/>
      <x:c r="T28" s="95" t="str"/>
      <x:c r="U28" s="95" t="str"/>
      <x:c r="V28" s="95" t="str"/>
      <x:c r="W28" s="95" t="str"/>
      <x:c r="X28" s="95" t="str"/>
      <x:c r="Y28" s="95" t="str"/>
      <x:c r="Z28" s="95" t="str"/>
      <x:c r="AA28" s="95" t="str"/>
      <x:c r="AB28" s="95" t="str"/>
    </x:row>
    <x:row r="29" ht="53" customHeight="1">
      <x:c r="A29" s="99" t="n">
        <x:v>46027</x:v>
      </x:c>
      <x:c r="B29" s="95" t="str">
        <x:v>D14 - ED-Imaging</x:v>
      </x:c>
      <x:c r="C29" s="95" t="str">
        <x:v>Actual delivery</x:v>
      </x:c>
      <x:c r="D29" s="95" t="n">
        <x:v>3</x:v>
      </x:c>
      <x:c r="E29" s="95" t="str"/>
      <x:c r="F29" s="95" t="str"/>
      <x:c r="G29" s="95" t="str"/>
      <x:c r="H29" s="95" t="str"/>
      <x:c r="I29" s="95" t="str"/>
      <x:c r="J29" s="95" t="str"/>
      <x:c r="K29" s="101" t="str">
        <x:v>06:04:24
06:34:24
06:49:32</x:v>
      </x:c>
      <x:c r="L29" s="95" t="str"/>
      <x:c r="M29" s="95" t="str"/>
      <x:c r="N29" s="95" t="str"/>
      <x:c r="O29" s="95" t="str"/>
      <x:c r="P29" s="95" t="str"/>
      <x:c r="Q29" s="95" t="str"/>
      <x:c r="R29" s="95" t="str"/>
      <x:c r="S29" s="95" t="str"/>
      <x:c r="T29" s="95" t="str"/>
      <x:c r="U29" s="95" t="str"/>
      <x:c r="V29" s="95" t="str"/>
      <x:c r="W29" s="95" t="str"/>
      <x:c r="X29" s="95" t="str"/>
      <x:c r="Y29" s="95" t="str"/>
      <x:c r="Z29" s="95" t="str"/>
      <x:c r="AA29" s="95" t="str"/>
      <x:c r="AB29" s="95" t="str"/>
    </x:row>
    <x:row r="30" ht="53" customHeight="1">
      <x:c r="A30" s="99" t="n">
        <x:v>46027</x:v>
      </x:c>
      <x:c r="B30" s="95" t="str">
        <x:v>D16 - Ante-natal</x:v>
      </x:c>
      <x:c r="C30" s="95" t="str">
        <x:v>Actual collection</x:v>
      </x:c>
      <x:c r="D30" s="95" t="n">
        <x:v>3</x:v>
      </x:c>
      <x:c r="E30" s="95" t="str"/>
      <x:c r="F30" s="95" t="str"/>
      <x:c r="G30" s="95" t="str"/>
      <x:c r="H30" s="95" t="str"/>
      <x:c r="I30" s="95" t="str"/>
      <x:c r="J30" s="95" t="str"/>
      <x:c r="K30" s="95" t="str"/>
      <x:c r="L30" s="95" t="str"/>
      <x:c r="M30" s="100" t="str">
        <x:v>08:19:11
08:34:12
08:49:11</x:v>
      </x:c>
      <x:c r="N30" s="95" t="str"/>
      <x:c r="O30" s="95" t="str"/>
      <x:c r="P30" s="95" t="str"/>
      <x:c r="Q30" s="95" t="str"/>
      <x:c r="R30" s="95" t="str"/>
      <x:c r="S30" s="95" t="str"/>
      <x:c r="T30" s="95" t="str"/>
      <x:c r="U30" s="95" t="str"/>
      <x:c r="V30" s="95" t="str"/>
      <x:c r="W30" s="95" t="str"/>
      <x:c r="X30" s="95" t="str"/>
      <x:c r="Y30" s="95" t="str"/>
      <x:c r="Z30" s="95" t="str"/>
      <x:c r="AA30" s="95" t="str"/>
      <x:c r="AB30" s="95" t="str"/>
    </x:row>
    <x:row r="31" ht="53" customHeight="1">
      <x:c r="A31" s="99" t="n">
        <x:v>46027</x:v>
      </x:c>
      <x:c r="B31" s="95" t="str">
        <x:v>D16 - Ante-natal</x:v>
      </x:c>
      <x:c r="C31" s="95" t="str">
        <x:v>Actual delivery</x:v>
      </x:c>
      <x:c r="D31" s="95" t="n">
        <x:v>3</x:v>
      </x:c>
      <x:c r="E31" s="95" t="str"/>
      <x:c r="F31" s="95" t="str"/>
      <x:c r="G31" s="95" t="str"/>
      <x:c r="H31" s="95" t="str"/>
      <x:c r="I31" s="95" t="str"/>
      <x:c r="J31" s="95" t="str"/>
      <x:c r="K31" s="95" t="str"/>
      <x:c r="L31" s="95" t="str"/>
      <x:c r="M31" s="101" t="str">
        <x:v>08:03:51
08:18:52
08:33:51</x:v>
      </x:c>
      <x:c r="N31" s="95" t="str"/>
      <x:c r="O31" s="95" t="str"/>
      <x:c r="P31" s="95" t="str"/>
      <x:c r="Q31" s="95" t="str"/>
      <x:c r="R31" s="95" t="str"/>
      <x:c r="S31" s="95" t="str"/>
      <x:c r="T31" s="95" t="str"/>
      <x:c r="U31" s="95" t="str"/>
      <x:c r="V31" s="95" t="str"/>
      <x:c r="W31" s="95" t="str"/>
      <x:c r="X31" s="95" t="str"/>
      <x:c r="Y31" s="95" t="str"/>
      <x:c r="Z31" s="95" t="str"/>
      <x:c r="AA31" s="95" t="str"/>
      <x:c r="AB31" s="95" t="str"/>
    </x:row>
    <x:row r="32" ht="38" customHeight="1">
      <x:c r="A32" s="99" t="n">
        <x:v>46027</x:v>
      </x:c>
      <x:c r="B32" s="95" t="str">
        <x:v>D2 - SDEC</x:v>
      </x:c>
      <x:c r="C32" s="95" t="str">
        <x:v>Actual collection</x:v>
      </x:c>
      <x:c r="D32" s="95" t="n">
        <x:v>3</x:v>
      </x:c>
      <x:c r="E32" s="95" t="str"/>
      <x:c r="F32" s="95" t="str"/>
      <x:c r="G32" s="95" t="str"/>
      <x:c r="H32" s="95" t="str"/>
      <x:c r="I32" s="95" t="str"/>
      <x:c r="J32" s="95" t="str"/>
      <x:c r="K32" s="95" t="str"/>
      <x:c r="L32" s="95" t="str"/>
      <x:c r="M32" s="95" t="str"/>
      <x:c r="N32" s="95" t="str"/>
      <x:c r="O32" s="95" t="str"/>
      <x:c r="P32" s="95" t="str"/>
      <x:c r="Q32" s="95" t="str"/>
      <x:c r="R32" s="95" t="str"/>
      <x:c r="S32" s="95" t="str"/>
      <x:c r="T32" s="100" t="str">
        <x:v>15:19:42</x:v>
      </x:c>
      <x:c r="U32" s="100" t="str">
        <x:v>16:16:38
16:20:11</x:v>
      </x:c>
      <x:c r="V32" s="95" t="str"/>
      <x:c r="W32" s="95" t="str"/>
      <x:c r="X32" s="95" t="str"/>
      <x:c r="Y32" s="95" t="str"/>
      <x:c r="Z32" s="95" t="str"/>
      <x:c r="AA32" s="95" t="str"/>
      <x:c r="AB32" s="95" t="str"/>
    </x:row>
    <x:row r="33" ht="38" customHeight="1">
      <x:c r="A33" s="99" t="n">
        <x:v>46027</x:v>
      </x:c>
      <x:c r="B33" s="95" t="str">
        <x:v>D2 - SDEC</x:v>
      </x:c>
      <x:c r="C33" s="95" t="str">
        <x:v>Actual delivery</x:v>
      </x:c>
      <x:c r="D33" s="95" t="n">
        <x:v>3</x:v>
      </x:c>
      <x:c r="E33" s="95" t="str"/>
      <x:c r="F33" s="95" t="str"/>
      <x:c r="G33" s="95" t="str"/>
      <x:c r="H33" s="95" t="str"/>
      <x:c r="I33" s="95" t="str"/>
      <x:c r="J33" s="95" t="str"/>
      <x:c r="K33" s="95" t="str"/>
      <x:c r="L33" s="95" t="str"/>
      <x:c r="M33" s="95" t="str"/>
      <x:c r="N33" s="95" t="str"/>
      <x:c r="O33" s="95" t="str"/>
      <x:c r="P33" s="95" t="str"/>
      <x:c r="Q33" s="101" t="str">
        <x:v>12:34:01</x:v>
      </x:c>
      <x:c r="R33" s="95" t="str"/>
      <x:c r="S33" s="95" t="str"/>
      <x:c r="T33" s="101" t="str">
        <x:v>15:13:11
15:16:39</x:v>
      </x:c>
      <x:c r="U33" s="95" t="str"/>
      <x:c r="V33" s="95" t="str"/>
      <x:c r="W33" s="95" t="str"/>
      <x:c r="X33" s="95" t="str"/>
      <x:c r="Y33" s="95" t="str"/>
      <x:c r="Z33" s="95" t="str"/>
      <x:c r="AA33" s="95" t="str"/>
      <x:c r="AB33" s="95" t="str"/>
    </x:row>
    <x:row r="34" ht="53" customHeight="1">
      <x:c r="A34" s="99" t="n">
        <x:v>46027</x:v>
      </x:c>
      <x:c r="B34" s="95" t="str">
        <x:v>D22 - Endoscopy</x:v>
      </x:c>
      <x:c r="C34" s="95" t="str">
        <x:v>Actual collection</x:v>
      </x:c>
      <x:c r="D34" s="95" t="n">
        <x:v>3</x:v>
      </x:c>
      <x:c r="E34" s="95" t="str"/>
      <x:c r="F34" s="95" t="str"/>
      <x:c r="G34" s="95" t="str"/>
      <x:c r="H34" s="95" t="str"/>
      <x:c r="I34" s="95" t="str"/>
      <x:c r="J34" s="95" t="str"/>
      <x:c r="K34" s="95" t="str"/>
      <x:c r="L34" s="95" t="str"/>
      <x:c r="M34" s="95" t="str"/>
      <x:c r="N34" s="100" t="str">
        <x:v>09:04:03
09:19:04
09:34:00</x:v>
      </x:c>
      <x:c r="O34" s="95" t="str"/>
      <x:c r="P34" s="95" t="str"/>
      <x:c r="Q34" s="95" t="str"/>
      <x:c r="R34" s="95" t="str"/>
      <x:c r="S34" s="95" t="str"/>
      <x:c r="T34" s="95" t="str"/>
      <x:c r="U34" s="95" t="str"/>
      <x:c r="V34" s="95" t="str"/>
      <x:c r="W34" s="95" t="str"/>
      <x:c r="X34" s="95" t="str"/>
      <x:c r="Y34" s="95" t="str"/>
      <x:c r="Z34" s="95" t="str"/>
      <x:c r="AA34" s="95" t="str"/>
      <x:c r="AB34" s="95" t="str"/>
    </x:row>
    <x:row r="35" ht="38" customHeight="1">
      <x:c r="A35" s="99" t="n">
        <x:v>46027</x:v>
      </x:c>
      <x:c r="B35" s="95" t="str">
        <x:v>D22 - Endoscopy</x:v>
      </x:c>
      <x:c r="C35" s="95" t="str">
        <x:v>Actual delivery</x:v>
      </x:c>
      <x:c r="D35" s="95" t="n">
        <x:v>3</x:v>
      </x:c>
      <x:c r="E35" s="95" t="str"/>
      <x:c r="F35" s="95" t="str"/>
      <x:c r="G35" s="95" t="str"/>
      <x:c r="H35" s="95" t="str"/>
      <x:c r="I35" s="95" t="str"/>
      <x:c r="J35" s="95" t="str"/>
      <x:c r="K35" s="95" t="str"/>
      <x:c r="L35" s="95" t="str"/>
      <x:c r="M35" s="101" t="str">
        <x:v>08:48:43</x:v>
      </x:c>
      <x:c r="N35" s="101" t="str">
        <x:v>09:03:44
09:18:40</x:v>
      </x:c>
      <x:c r="O35" s="95" t="str"/>
      <x:c r="P35" s="95" t="str"/>
      <x:c r="Q35" s="95" t="str"/>
      <x:c r="R35" s="95" t="str"/>
      <x:c r="S35" s="95" t="str"/>
      <x:c r="T35" s="95" t="str"/>
      <x:c r="U35" s="95" t="str"/>
      <x:c r="V35" s="95" t="str"/>
      <x:c r="W35" s="95" t="str"/>
      <x:c r="X35" s="95" t="str"/>
      <x:c r="Y35" s="95" t="str"/>
      <x:c r="Z35" s="95" t="str"/>
      <x:c r="AA35" s="95" t="str"/>
      <x:c r="AB35" s="95" t="str"/>
    </x:row>
    <x:row r="36" ht="38" customHeight="1">
      <x:c r="A36" s="99" t="n">
        <x:v>46027</x:v>
      </x:c>
      <x:c r="B36" s="95" t="str">
        <x:v>D23 - Gynae Outpatients</x:v>
      </x:c>
      <x:c r="C36" s="95" t="str">
        <x:v>Actual collection</x:v>
      </x:c>
      <x:c r="D36" s="95" t="n">
        <x:v>3</x:v>
      </x:c>
      <x:c r="E36" s="95" t="str"/>
      <x:c r="F36" s="95" t="str"/>
      <x:c r="G36" s="95" t="str"/>
      <x:c r="H36" s="95" t="str"/>
      <x:c r="I36" s="95" t="str"/>
      <x:c r="J36" s="95" t="str"/>
      <x:c r="K36" s="95" t="str"/>
      <x:c r="L36" s="95" t="str"/>
      <x:c r="M36" s="95" t="str"/>
      <x:c r="N36" s="100" t="str">
        <x:v>09:48:54</x:v>
      </x:c>
      <x:c r="O36" s="100" t="str">
        <x:v>10:10:34
10:19:32</x:v>
      </x:c>
      <x:c r="P36" s="95" t="str"/>
      <x:c r="Q36" s="95" t="str"/>
      <x:c r="R36" s="95" t="str"/>
      <x:c r="S36" s="95" t="str"/>
      <x:c r="T36" s="95" t="str"/>
      <x:c r="U36" s="95" t="str"/>
      <x:c r="V36" s="95" t="str"/>
      <x:c r="W36" s="95" t="str"/>
      <x:c r="X36" s="95" t="str"/>
      <x:c r="Y36" s="95" t="str"/>
      <x:c r="Z36" s="95" t="str"/>
      <x:c r="AA36" s="95" t="str"/>
      <x:c r="AB36" s="95" t="str"/>
    </x:row>
    <x:row r="37" ht="38" customHeight="1">
      <x:c r="A37" s="99" t="n">
        <x:v>46027</x:v>
      </x:c>
      <x:c r="B37" s="95" t="str">
        <x:v>D23 - Gynae Outpatients</x:v>
      </x:c>
      <x:c r="C37" s="95" t="str">
        <x:v>Actual delivery</x:v>
      </x:c>
      <x:c r="D37" s="95" t="n">
        <x:v>3</x:v>
      </x:c>
      <x:c r="E37" s="95" t="str"/>
      <x:c r="F37" s="95" t="str"/>
      <x:c r="G37" s="95" t="str"/>
      <x:c r="H37" s="95" t="str"/>
      <x:c r="I37" s="95" t="str"/>
      <x:c r="J37" s="95" t="str"/>
      <x:c r="K37" s="95" t="str"/>
      <x:c r="L37" s="95" t="str"/>
      <x:c r="M37" s="95" t="str"/>
      <x:c r="N37" s="101" t="str">
        <x:v>09:33:34
09:48:39</x:v>
      </x:c>
      <x:c r="O37" s="101" t="str">
        <x:v>10:04:12</x:v>
      </x:c>
      <x:c r="P37" s="95" t="str"/>
      <x:c r="Q37" s="95" t="str"/>
      <x:c r="R37" s="95" t="str"/>
      <x:c r="S37" s="95" t="str"/>
      <x:c r="T37" s="95" t="str"/>
      <x:c r="U37" s="95" t="str"/>
      <x:c r="V37" s="95" t="str"/>
      <x:c r="W37" s="95" t="str"/>
      <x:c r="X37" s="95" t="str"/>
      <x:c r="Y37" s="95" t="str"/>
      <x:c r="Z37" s="95" t="str"/>
      <x:c r="AA37" s="95" t="str"/>
      <x:c r="AB37" s="95" t="str"/>
    </x:row>
    <x:row r="38" ht="38" customHeight="1">
      <x:c r="A38" s="99" t="n">
        <x:v>46027</x:v>
      </x:c>
      <x:c r="B38" s="95" t="str">
        <x:v>D24 - Urology Outpatients</x:v>
      </x:c>
      <x:c r="C38" s="95" t="str">
        <x:v>Actual collection</x:v>
      </x:c>
      <x:c r="D38" s="95" t="n">
        <x:v>3</x:v>
      </x:c>
      <x:c r="E38" s="95" t="str"/>
      <x:c r="F38" s="95" t="str"/>
      <x:c r="G38" s="95" t="str"/>
      <x:c r="H38" s="95" t="str"/>
      <x:c r="I38" s="95" t="str"/>
      <x:c r="J38" s="95" t="str"/>
      <x:c r="K38" s="95" t="str"/>
      <x:c r="L38" s="95" t="str"/>
      <x:c r="M38" s="95" t="str"/>
      <x:c r="N38" s="95" t="str"/>
      <x:c r="O38" s="95" t="str"/>
      <x:c r="P38" s="100" t="str">
        <x:v>11:34:17
11:49:14</x:v>
      </x:c>
      <x:c r="Q38" s="100" t="str">
        <x:v>12:04:12</x:v>
      </x:c>
      <x:c r="R38" s="95" t="str"/>
      <x:c r="S38" s="95" t="str"/>
      <x:c r="T38" s="95" t="str"/>
      <x:c r="U38" s="95" t="str"/>
      <x:c r="V38" s="95" t="str"/>
      <x:c r="W38" s="95" t="str"/>
      <x:c r="X38" s="95" t="str"/>
      <x:c r="Y38" s="95" t="str"/>
      <x:c r="Z38" s="95" t="str"/>
      <x:c r="AA38" s="95" t="str"/>
      <x:c r="AB38" s="95" t="str"/>
    </x:row>
    <x:row r="39" ht="38" customHeight="1">
      <x:c r="A39" s="99" t="n">
        <x:v>46027</x:v>
      </x:c>
      <x:c r="B39" s="95" t="str">
        <x:v>D24 - Urology Outpatients</x:v>
      </x:c>
      <x:c r="C39" s="95" t="str">
        <x:v>Actual delivery</x:v>
      </x:c>
      <x:c r="D39" s="95" t="n">
        <x:v>3</x:v>
      </x:c>
      <x:c r="E39" s="95" t="str"/>
      <x:c r="F39" s="95" t="str"/>
      <x:c r="G39" s="95" t="str"/>
      <x:c r="H39" s="95" t="str"/>
      <x:c r="I39" s="95" t="str"/>
      <x:c r="J39" s="95" t="str"/>
      <x:c r="K39" s="95" t="str"/>
      <x:c r="L39" s="95" t="str"/>
      <x:c r="M39" s="95" t="str"/>
      <x:c r="N39" s="95" t="str"/>
      <x:c r="O39" s="101" t="str">
        <x:v>10:33:42
10:48:54</x:v>
      </x:c>
      <x:c r="P39" s="101" t="str">
        <x:v>11:03:52</x:v>
      </x:c>
      <x:c r="Q39" s="95" t="str"/>
      <x:c r="R39" s="95" t="str"/>
      <x:c r="S39" s="95" t="str"/>
      <x:c r="T39" s="95" t="str"/>
      <x:c r="U39" s="95" t="str"/>
      <x:c r="V39" s="95" t="str"/>
      <x:c r="W39" s="95" t="str"/>
      <x:c r="X39" s="95" t="str"/>
      <x:c r="Y39" s="95" t="str"/>
      <x:c r="Z39" s="95" t="str"/>
      <x:c r="AA39" s="95" t="str"/>
      <x:c r="AB39" s="95" t="str"/>
    </x:row>
    <x:row r="40" ht="38" customHeight="1">
      <x:c r="A40" s="99" t="n">
        <x:v>46027</x:v>
      </x:c>
      <x:c r="B40" s="95" t="str">
        <x:v>D27 - Minor ops Suite</x:v>
      </x:c>
      <x:c r="C40" s="95" t="str">
        <x:v>Actual collection</x:v>
      </x:c>
      <x:c r="D40" s="95" t="n">
        <x:v>3</x:v>
      </x:c>
      <x:c r="E40" s="95" t="str"/>
      <x:c r="F40" s="95" t="str"/>
      <x:c r="G40" s="95" t="str"/>
      <x:c r="H40" s="95" t="str"/>
      <x:c r="I40" s="95" t="str"/>
      <x:c r="J40" s="95" t="str"/>
      <x:c r="K40" s="95" t="str"/>
      <x:c r="L40" s="95" t="str"/>
      <x:c r="M40" s="95" t="str"/>
      <x:c r="N40" s="95" t="str"/>
      <x:c r="O40" s="95" t="str"/>
      <x:c r="P40" s="100" t="str">
        <x:v>11:37:00
11:52:22</x:v>
      </x:c>
      <x:c r="Q40" s="100" t="str">
        <x:v>12:06:54</x:v>
      </x:c>
      <x:c r="R40" s="95" t="str"/>
      <x:c r="S40" s="95" t="str"/>
      <x:c r="T40" s="95" t="str"/>
      <x:c r="U40" s="95" t="str"/>
      <x:c r="V40" s="95" t="str"/>
      <x:c r="W40" s="95" t="str"/>
      <x:c r="X40" s="95" t="str"/>
      <x:c r="Y40" s="95" t="str"/>
      <x:c r="Z40" s="95" t="str"/>
      <x:c r="AA40" s="95" t="str"/>
      <x:c r="AB40" s="95" t="str"/>
    </x:row>
    <x:row r="41" ht="53" customHeight="1">
      <x:c r="A41" s="99" t="n">
        <x:v>46027</x:v>
      </x:c>
      <x:c r="B41" s="95" t="str">
        <x:v>D27 - Minor ops Suite</x:v>
      </x:c>
      <x:c r="C41" s="95" t="str">
        <x:v>Actual delivery</x:v>
      </x:c>
      <x:c r="D41" s="95" t="n">
        <x:v>3</x:v>
      </x:c>
      <x:c r="E41" s="95" t="str"/>
      <x:c r="F41" s="95" t="str"/>
      <x:c r="G41" s="95" t="str"/>
      <x:c r="H41" s="95" t="str"/>
      <x:c r="I41" s="95" t="str"/>
      <x:c r="J41" s="95" t="str"/>
      <x:c r="K41" s="95" t="str"/>
      <x:c r="L41" s="95" t="str"/>
      <x:c r="M41" s="95" t="str"/>
      <x:c r="N41" s="95" t="str"/>
      <x:c r="O41" s="95" t="str"/>
      <x:c r="P41" s="101" t="str">
        <x:v>11:21:40
11:33:57
11:48:33</x:v>
      </x:c>
      <x:c r="Q41" s="95" t="str"/>
      <x:c r="R41" s="95" t="str"/>
      <x:c r="S41" s="95" t="str"/>
      <x:c r="T41" s="95" t="str"/>
      <x:c r="U41" s="95" t="str"/>
      <x:c r="V41" s="95" t="str"/>
      <x:c r="W41" s="95" t="str"/>
      <x:c r="X41" s="95" t="str"/>
      <x:c r="Y41" s="95" t="str"/>
      <x:c r="Z41" s="95" t="str"/>
      <x:c r="AA41" s="95" t="str"/>
      <x:c r="AB41" s="95" t="str"/>
    </x:row>
    <x:row r="42" ht="53" customHeight="1">
      <x:c r="A42" s="99" t="n">
        <x:v>46027</x:v>
      </x:c>
      <x:c r="B42" s="95" t="str">
        <x:v>D3 - Urgent Care</x:v>
      </x:c>
      <x:c r="C42" s="95" t="str">
        <x:v>Actual collection</x:v>
      </x:c>
      <x:c r="D42" s="95" t="n">
        <x:v>3</x:v>
      </x:c>
      <x:c r="E42" s="95" t="str"/>
      <x:c r="F42" s="95" t="str"/>
      <x:c r="G42" s="95" t="str"/>
      <x:c r="H42" s="95" t="str"/>
      <x:c r="I42" s="95" t="str"/>
      <x:c r="J42" s="95" t="str"/>
      <x:c r="K42" s="95" t="str"/>
      <x:c r="L42" s="95" t="str"/>
      <x:c r="M42" s="95" t="str"/>
      <x:c r="N42" s="95" t="str"/>
      <x:c r="O42" s="95" t="str"/>
      <x:c r="P42" s="95" t="str"/>
      <x:c r="Q42" s="95" t="str"/>
      <x:c r="R42" s="95" t="str"/>
      <x:c r="S42" s="95" t="str"/>
      <x:c r="T42" s="95" t="str"/>
      <x:c r="U42" s="100" t="str">
        <x:v>16:23:41
16:27:18
16:28:20</x:v>
      </x:c>
      <x:c r="V42" s="95" t="str"/>
      <x:c r="W42" s="95" t="str"/>
      <x:c r="X42" s="95" t="str"/>
      <x:c r="Y42" s="95" t="str"/>
      <x:c r="Z42" s="95" t="str"/>
      <x:c r="AA42" s="95" t="str"/>
      <x:c r="AB42" s="95" t="str"/>
    </x:row>
    <x:row r="43" ht="53" customHeight="1">
      <x:c r="A43" s="99" t="n">
        <x:v>46027</x:v>
      </x:c>
      <x:c r="B43" s="95" t="str">
        <x:v>D3 - Urgent Care</x:v>
      </x:c>
      <x:c r="C43" s="95" t="str">
        <x:v>Actual delivery</x:v>
      </x:c>
      <x:c r="D43" s="95" t="n">
        <x:v>3</x:v>
      </x:c>
      <x:c r="E43" s="95" t="str"/>
      <x:c r="F43" s="95" t="str"/>
      <x:c r="G43" s="95" t="str"/>
      <x:c r="H43" s="95" t="str"/>
      <x:c r="I43" s="95" t="str"/>
      <x:c r="J43" s="95" t="str"/>
      <x:c r="K43" s="95" t="str"/>
      <x:c r="L43" s="95" t="str"/>
      <x:c r="M43" s="95" t="str"/>
      <x:c r="N43" s="95" t="str"/>
      <x:c r="O43" s="95" t="str"/>
      <x:c r="P43" s="95" t="str"/>
      <x:c r="Q43" s="95" t="str"/>
      <x:c r="R43" s="95" t="str"/>
      <x:c r="S43" s="95" t="str"/>
      <x:c r="T43" s="101" t="str">
        <x:v>15:19:49
15:22:25
15:23:19</x:v>
      </x:c>
      <x:c r="U43" s="95" t="str"/>
      <x:c r="V43" s="95" t="str"/>
      <x:c r="W43" s="95" t="str"/>
      <x:c r="X43" s="95" t="str"/>
      <x:c r="Y43" s="95" t="str"/>
      <x:c r="Z43" s="95" t="str"/>
      <x:c r="AA43" s="95" t="str"/>
      <x:c r="AB43" s="95" t="str"/>
    </x:row>
    <x:row r="44" ht="38" customHeight="1">
      <x:c r="A44" s="99" t="n">
        <x:v>46027</x:v>
      </x:c>
      <x:c r="B44" s="95" t="str">
        <x:v>D38 - Elective Orthopaedic Inpatients</x:v>
      </x:c>
      <x:c r="C44" s="95" t="str">
        <x:v>Actual collection</x:v>
      </x:c>
      <x:c r="D44" s="95" t="n">
        <x:v>3</x:v>
      </x:c>
      <x:c r="E44" s="95" t="str"/>
      <x:c r="F44" s="95" t="str"/>
      <x:c r="G44" s="95" t="str"/>
      <x:c r="H44" s="95" t="str"/>
      <x:c r="I44" s="95" t="str"/>
      <x:c r="J44" s="95" t="str"/>
      <x:c r="K44" s="95" t="str"/>
      <x:c r="L44" s="95" t="str"/>
      <x:c r="M44" s="95" t="str"/>
      <x:c r="N44" s="95" t="str"/>
      <x:c r="O44" s="95" t="str"/>
      <x:c r="P44" s="95" t="str"/>
      <x:c r="Q44" s="95" t="str"/>
      <x:c r="R44" s="95" t="str"/>
      <x:c r="S44" s="95" t="str"/>
      <x:c r="T44" s="100" t="str">
        <x:v>15:19:02</x:v>
      </x:c>
      <x:c r="U44" s="100" t="str">
        <x:v>16:20:36
16:21:10</x:v>
      </x:c>
      <x:c r="V44" s="95" t="str"/>
      <x:c r="W44" s="95" t="str"/>
      <x:c r="X44" s="95" t="str"/>
      <x:c r="Y44" s="95" t="str"/>
      <x:c r="Z44" s="95" t="str"/>
      <x:c r="AA44" s="95" t="str"/>
      <x:c r="AB44" s="95" t="str"/>
    </x:row>
    <x:row r="45" ht="38" customHeight="1">
      <x:c r="A45" s="99" t="n">
        <x:v>46027</x:v>
      </x:c>
      <x:c r="B45" s="95" t="str">
        <x:v>D38 - Elective Orthopaedic Inpatients</x:v>
      </x:c>
      <x:c r="C45" s="95" t="str">
        <x:v>Actual delivery</x:v>
      </x:c>
      <x:c r="D45" s="95" t="n">
        <x:v>3</x:v>
      </x:c>
      <x:c r="E45" s="95" t="str"/>
      <x:c r="F45" s="95" t="str"/>
      <x:c r="G45" s="95" t="str"/>
      <x:c r="H45" s="95" t="str"/>
      <x:c r="I45" s="95" t="str"/>
      <x:c r="J45" s="95" t="str"/>
      <x:c r="K45" s="95" t="str"/>
      <x:c r="L45" s="95" t="str"/>
      <x:c r="M45" s="95" t="str"/>
      <x:c r="N45" s="95" t="str"/>
      <x:c r="O45" s="95" t="str"/>
      <x:c r="P45" s="95" t="str"/>
      <x:c r="Q45" s="101" t="str">
        <x:v>12:34:02</x:v>
      </x:c>
      <x:c r="R45" s="95" t="str"/>
      <x:c r="S45" s="95" t="str"/>
      <x:c r="T45" s="101" t="str">
        <x:v>15:16:56
15:17:20</x:v>
      </x:c>
      <x:c r="U45" s="95" t="str"/>
      <x:c r="V45" s="95" t="str"/>
      <x:c r="W45" s="95" t="str"/>
      <x:c r="X45" s="95" t="str"/>
      <x:c r="Y45" s="95" t="str"/>
      <x:c r="Z45" s="95" t="str"/>
      <x:c r="AA45" s="95" t="str"/>
      <x:c r="AB45" s="95" t="str"/>
    </x:row>
    <x:row r="46" ht="38" customHeight="1">
      <x:c r="A46" s="99" t="n">
        <x:v>46027</x:v>
      </x:c>
      <x:c r="B46" s="95" t="str">
        <x:v>D4 - OPD1</x:v>
      </x:c>
      <x:c r="C46" s="95" t="str">
        <x:v>Actual collection</x:v>
      </x:c>
      <x:c r="D46" s="95" t="n">
        <x:v>3</x:v>
      </x:c>
      <x:c r="E46" s="95" t="str"/>
      <x:c r="F46" s="95" t="str"/>
      <x:c r="G46" s="95" t="str"/>
      <x:c r="H46" s="95" t="str"/>
      <x:c r="I46" s="95" t="str"/>
      <x:c r="J46" s="95" t="str"/>
      <x:c r="K46" s="95" t="str"/>
      <x:c r="L46" s="95" t="str"/>
      <x:c r="M46" s="95" t="str"/>
      <x:c r="N46" s="95" t="str"/>
      <x:c r="O46" s="95" t="str"/>
      <x:c r="P46" s="95" t="str"/>
      <x:c r="Q46" s="95" t="str"/>
      <x:c r="R46" s="95" t="str"/>
      <x:c r="S46" s="95" t="str"/>
      <x:c r="T46" s="100" t="str">
        <x:v>15:52:29
15:53:39</x:v>
      </x:c>
      <x:c r="U46" s="100" t="str">
        <x:v>16:08:19</x:v>
      </x:c>
      <x:c r="V46" s="95" t="str"/>
      <x:c r="W46" s="95" t="str"/>
      <x:c r="X46" s="95" t="str"/>
      <x:c r="Y46" s="95" t="str"/>
      <x:c r="Z46" s="95" t="str"/>
      <x:c r="AA46" s="95" t="str"/>
      <x:c r="AB46" s="95" t="str"/>
    </x:row>
    <x:row r="47" ht="53" customHeight="1">
      <x:c r="A47" s="99" t="n">
        <x:v>46027</x:v>
      </x:c>
      <x:c r="B47" s="95" t="str">
        <x:v>D4 - OPD1</x:v>
      </x:c>
      <x:c r="C47" s="95" t="str">
        <x:v>Actual delivery</x:v>
      </x:c>
      <x:c r="D47" s="95" t="n">
        <x:v>3</x:v>
      </x:c>
      <x:c r="E47" s="95" t="str"/>
      <x:c r="F47" s="95" t="str"/>
      <x:c r="G47" s="95" t="str"/>
      <x:c r="H47" s="95" t="str"/>
      <x:c r="I47" s="95" t="str"/>
      <x:c r="J47" s="95" t="str"/>
      <x:c r="K47" s="95" t="str"/>
      <x:c r="L47" s="95" t="str"/>
      <x:c r="M47" s="95" t="str"/>
      <x:c r="N47" s="95" t="str"/>
      <x:c r="O47" s="95" t="str"/>
      <x:c r="P47" s="95" t="str"/>
      <x:c r="Q47" s="95" t="str"/>
      <x:c r="R47" s="95" t="str"/>
      <x:c r="S47" s="95" t="str"/>
      <x:c r="T47" s="101" t="str">
        <x:v>15:34:24
15:36:23
15:49:30</x:v>
      </x:c>
      <x:c r="U47" s="95" t="str"/>
      <x:c r="V47" s="95" t="str"/>
      <x:c r="W47" s="95" t="str"/>
      <x:c r="X47" s="95" t="str"/>
      <x:c r="Y47" s="95" t="str"/>
      <x:c r="Z47" s="95" t="str"/>
      <x:c r="AA47" s="95" t="str"/>
      <x:c r="AB47" s="95" t="str"/>
    </x:row>
    <x:row r="48" ht="53" customHeight="1">
      <x:c r="A48" s="99" t="n">
        <x:v>46027</x:v>
      </x:c>
      <x:c r="B48" s="95" t="str">
        <x:v>D44 - OPD3</x:v>
      </x:c>
      <x:c r="C48" s="95" t="str">
        <x:v>Actual collection</x:v>
      </x:c>
      <x:c r="D48" s="95" t="n">
        <x:v>3</x:v>
      </x:c>
      <x:c r="E48" s="95" t="str"/>
      <x:c r="F48" s="95" t="str"/>
      <x:c r="G48" s="95" t="str"/>
      <x:c r="H48" s="95" t="str"/>
      <x:c r="I48" s="95" t="str"/>
      <x:c r="J48" s="95" t="str"/>
      <x:c r="K48" s="95" t="str"/>
      <x:c r="L48" s="95" t="str"/>
      <x:c r="M48" s="95" t="str"/>
      <x:c r="N48" s="95" t="str"/>
      <x:c r="O48" s="95" t="str"/>
      <x:c r="P48" s="95" t="str"/>
      <x:c r="Q48" s="95" t="str"/>
      <x:c r="R48" s="95" t="str"/>
      <x:c r="S48" s="95" t="str"/>
      <x:c r="T48" s="95" t="str"/>
      <x:c r="U48" s="100" t="str">
        <x:v>16:27:10
16:27:42
16:28:40</x:v>
      </x:c>
      <x:c r="V48" s="95" t="str"/>
      <x:c r="W48" s="95" t="str"/>
      <x:c r="X48" s="95" t="str"/>
      <x:c r="Y48" s="95" t="str"/>
      <x:c r="Z48" s="95" t="str"/>
      <x:c r="AA48" s="95" t="str"/>
      <x:c r="AB48" s="95" t="str"/>
    </x:row>
    <x:row r="49" ht="53" customHeight="1">
      <x:c r="A49" s="99" t="n">
        <x:v>46027</x:v>
      </x:c>
      <x:c r="B49" s="95" t="str">
        <x:v>D44 - OPD3</x:v>
      </x:c>
      <x:c r="C49" s="95" t="str">
        <x:v>Actual delivery</x:v>
      </x:c>
      <x:c r="D49" s="95" t="n">
        <x:v>3</x:v>
      </x:c>
      <x:c r="E49" s="95" t="str"/>
      <x:c r="F49" s="95" t="str"/>
      <x:c r="G49" s="95" t="str"/>
      <x:c r="H49" s="95" t="str"/>
      <x:c r="I49" s="95" t="str"/>
      <x:c r="J49" s="95" t="str"/>
      <x:c r="K49" s="95" t="str"/>
      <x:c r="L49" s="95" t="str"/>
      <x:c r="M49" s="95" t="str"/>
      <x:c r="N49" s="95" t="str"/>
      <x:c r="O49" s="95" t="str"/>
      <x:c r="P49" s="95" t="str"/>
      <x:c r="Q49" s="95" t="str"/>
      <x:c r="R49" s="95" t="str"/>
      <x:c r="S49" s="95" t="str"/>
      <x:c r="T49" s="101" t="str">
        <x:v>15:23:24
15:24:28
15:25:36</x:v>
      </x:c>
      <x:c r="U49" s="95" t="str"/>
      <x:c r="V49" s="95" t="str"/>
      <x:c r="W49" s="95" t="str"/>
      <x:c r="X49" s="95" t="str"/>
      <x:c r="Y49" s="95" t="str"/>
      <x:c r="Z49" s="95" t="str"/>
      <x:c r="AA49" s="95" t="str"/>
      <x:c r="AB49" s="95" t="str"/>
    </x:row>
    <x:row r="50" ht="38" customHeight="1">
      <x:c r="A50" s="99" t="n">
        <x:v>46028</x:v>
      </x:c>
      <x:c r="B50" s="95" t="str">
        <x:v>D11 - ED-Resus</x:v>
      </x:c>
      <x:c r="C50" s="95" t="str">
        <x:v>Actual collection</x:v>
      </x:c>
      <x:c r="D50" s="95" t="n">
        <x:v>3</x:v>
      </x:c>
      <x:c r="E50" s="95" t="str"/>
      <x:c r="F50" s="95" t="str"/>
      <x:c r="G50" s="95" t="str"/>
      <x:c r="H50" s="95" t="str"/>
      <x:c r="I50" s="95" t="str"/>
      <x:c r="J50" s="95" t="str"/>
      <x:c r="K50" s="100" t="str">
        <x:v>06:24:20
06:51:24</x:v>
      </x:c>
      <x:c r="L50" s="100" t="str">
        <x:v>07:06:45</x:v>
      </x:c>
      <x:c r="M50" s="95" t="str"/>
      <x:c r="N50" s="95" t="str"/>
      <x:c r="O50" s="95" t="str"/>
      <x:c r="P50" s="95" t="str"/>
      <x:c r="Q50" s="95" t="str"/>
      <x:c r="R50" s="95" t="str"/>
      <x:c r="S50" s="95" t="str"/>
      <x:c r="T50" s="95" t="str"/>
      <x:c r="U50" s="95" t="str"/>
      <x:c r="V50" s="95" t="str"/>
      <x:c r="W50" s="95" t="str"/>
      <x:c r="X50" s="95" t="str"/>
      <x:c r="Y50" s="95" t="str"/>
      <x:c r="Z50" s="95" t="str"/>
      <x:c r="AA50" s="95" t="str"/>
      <x:c r="AB50" s="95" t="str"/>
    </x:row>
    <x:row r="51" ht="53" customHeight="1">
      <x:c r="A51" s="99" t="n">
        <x:v>46028</x:v>
      </x:c>
      <x:c r="B51" s="95" t="str">
        <x:v>D11 - ED-Resus</x:v>
      </x:c>
      <x:c r="C51" s="95" t="str">
        <x:v>Actual delivery</x:v>
      </x:c>
      <x:c r="D51" s="95" t="n">
        <x:v>3</x:v>
      </x:c>
      <x:c r="E51" s="95" t="str"/>
      <x:c r="F51" s="95" t="str"/>
      <x:c r="G51" s="95" t="str"/>
      <x:c r="H51" s="95" t="str"/>
      <x:c r="I51" s="95" t="str"/>
      <x:c r="J51" s="95" t="str"/>
      <x:c r="K51" s="101" t="str">
        <x:v>06:05:05
06:34:45
06:50:05</x:v>
      </x:c>
      <x:c r="L51" s="95" t="str"/>
      <x:c r="M51" s="95" t="str"/>
      <x:c r="N51" s="95" t="str"/>
      <x:c r="O51" s="95" t="str"/>
      <x:c r="P51" s="95" t="str"/>
      <x:c r="Q51" s="95" t="str"/>
      <x:c r="R51" s="95" t="str"/>
      <x:c r="S51" s="95" t="str"/>
      <x:c r="T51" s="95" t="str"/>
      <x:c r="U51" s="95" t="str"/>
      <x:c r="V51" s="95" t="str"/>
      <x:c r="W51" s="95" t="str"/>
      <x:c r="X51" s="95" t="str"/>
      <x:c r="Y51" s="95" t="str"/>
      <x:c r="Z51" s="95" t="str"/>
      <x:c r="AA51" s="95" t="str"/>
      <x:c r="AB51" s="95" t="str"/>
    </x:row>
    <x:row r="52" ht="38" customHeight="1">
      <x:c r="A52" s="99" t="n">
        <x:v>46028</x:v>
      </x:c>
      <x:c r="B52" s="95" t="str">
        <x:v>D13 - ED-Paediatrics</x:v>
      </x:c>
      <x:c r="C52" s="95" t="str">
        <x:v>Actual collection</x:v>
      </x:c>
      <x:c r="D52" s="95" t="n">
        <x:v>3</x:v>
      </x:c>
      <x:c r="E52" s="95" t="str"/>
      <x:c r="F52" s="95" t="str"/>
      <x:c r="G52" s="95" t="str"/>
      <x:c r="H52" s="95" t="str"/>
      <x:c r="I52" s="95" t="str"/>
      <x:c r="J52" s="95" t="str"/>
      <x:c r="K52" s="95" t="str"/>
      <x:c r="L52" s="100" t="str">
        <x:v>07:20:03
07:50:03</x:v>
      </x:c>
      <x:c r="M52" s="100" t="str">
        <x:v>08:05:04</x:v>
      </x:c>
      <x:c r="N52" s="95" t="str"/>
      <x:c r="O52" s="95" t="str"/>
      <x:c r="P52" s="95" t="str"/>
      <x:c r="Q52" s="95" t="str"/>
      <x:c r="R52" s="95" t="str"/>
      <x:c r="S52" s="95" t="str"/>
      <x:c r="T52" s="95" t="str"/>
      <x:c r="U52" s="95" t="str"/>
      <x:c r="V52" s="95" t="str"/>
      <x:c r="W52" s="95" t="str"/>
      <x:c r="X52" s="95" t="str"/>
      <x:c r="Y52" s="95" t="str"/>
      <x:c r="Z52" s="95" t="str"/>
      <x:c r="AA52" s="95" t="str"/>
      <x:c r="AB52" s="95" t="str"/>
    </x:row>
    <x:row r="53" ht="53" customHeight="1">
      <x:c r="A53" s="99" t="n">
        <x:v>46028</x:v>
      </x:c>
      <x:c r="B53" s="95" t="str">
        <x:v>D13 - ED-Paediatrics</x:v>
      </x:c>
      <x:c r="C53" s="95" t="str">
        <x:v>Actual delivery</x:v>
      </x:c>
      <x:c r="D53" s="95" t="n">
        <x:v>3</x:v>
      </x:c>
      <x:c r="E53" s="95" t="str"/>
      <x:c r="F53" s="95" t="str"/>
      <x:c r="G53" s="95" t="str"/>
      <x:c r="H53" s="95" t="str"/>
      <x:c r="I53" s="95" t="str"/>
      <x:c r="J53" s="95" t="str"/>
      <x:c r="K53" s="95" t="str"/>
      <x:c r="L53" s="101" t="str">
        <x:v>07:04:04
07:34:04
07:49:05</x:v>
      </x:c>
      <x:c r="M53" s="95" t="str"/>
      <x:c r="N53" s="95" t="str"/>
      <x:c r="O53" s="95" t="str"/>
      <x:c r="P53" s="95" t="str"/>
      <x:c r="Q53" s="95" t="str"/>
      <x:c r="R53" s="95" t="str"/>
      <x:c r="S53" s="95" t="str"/>
      <x:c r="T53" s="95" t="str"/>
      <x:c r="U53" s="95" t="str"/>
      <x:c r="V53" s="95" t="str"/>
      <x:c r="W53" s="95" t="str"/>
      <x:c r="X53" s="95" t="str"/>
      <x:c r="Y53" s="95" t="str"/>
      <x:c r="Z53" s="95" t="str"/>
      <x:c r="AA53" s="95" t="str"/>
      <x:c r="AB53" s="95" t="str"/>
    </x:row>
    <x:row r="54" ht="53" customHeight="1">
      <x:c r="A54" s="99" t="n">
        <x:v>46028</x:v>
      </x:c>
      <x:c r="B54" s="95" t="str">
        <x:v>D17 - Ambulatory Care</x:v>
      </x:c>
      <x:c r="C54" s="95" t="str">
        <x:v>Actual collection</x:v>
      </x:c>
      <x:c r="D54" s="95" t="n">
        <x:v>3</x:v>
      </x:c>
      <x:c r="E54" s="95" t="str"/>
      <x:c r="F54" s="95" t="str"/>
      <x:c r="G54" s="95" t="str"/>
      <x:c r="H54" s="95" t="str"/>
      <x:c r="I54" s="95" t="str"/>
      <x:c r="J54" s="95" t="str"/>
      <x:c r="K54" s="95" t="str"/>
      <x:c r="L54" s="95" t="str"/>
      <x:c r="M54" s="95" t="str"/>
      <x:c r="N54" s="95" t="str"/>
      <x:c r="O54" s="100" t="str">
        <x:v>10:04:34
10:24:13
10:38:27</x:v>
      </x:c>
      <x:c r="P54" s="95" t="str"/>
      <x:c r="Q54" s="95" t="str"/>
      <x:c r="R54" s="95" t="str"/>
      <x:c r="S54" s="95" t="str"/>
      <x:c r="T54" s="95" t="str"/>
      <x:c r="U54" s="95" t="str"/>
      <x:c r="V54" s="95" t="str"/>
      <x:c r="W54" s="95" t="str"/>
      <x:c r="X54" s="95" t="str"/>
      <x:c r="Y54" s="95" t="str"/>
      <x:c r="Z54" s="95" t="str"/>
      <x:c r="AA54" s="95" t="str"/>
      <x:c r="AB54" s="95" t="str"/>
    </x:row>
    <x:row r="55" ht="53" customHeight="1">
      <x:c r="A55" s="99" t="n">
        <x:v>46028</x:v>
      </x:c>
      <x:c r="B55" s="95" t="str">
        <x:v>D17 - Ambulatory Care</x:v>
      </x:c>
      <x:c r="C55" s="95" t="str">
        <x:v>Actual delivery</x:v>
      </x:c>
      <x:c r="D55" s="95" t="n">
        <x:v>3</x:v>
      </x:c>
      <x:c r="E55" s="95" t="str"/>
      <x:c r="F55" s="95" t="str"/>
      <x:c r="G55" s="95" t="str"/>
      <x:c r="H55" s="95" t="str"/>
      <x:c r="I55" s="95" t="str"/>
      <x:c r="J55" s="95" t="str"/>
      <x:c r="K55" s="95" t="str"/>
      <x:c r="L55" s="95" t="str"/>
      <x:c r="M55" s="95" t="str"/>
      <x:c r="N55" s="101" t="str">
        <x:v>09:04:14
09:19:13
09:36:43</x:v>
      </x:c>
      <x:c r="O55" s="95" t="str"/>
      <x:c r="P55" s="95" t="str"/>
      <x:c r="Q55" s="95" t="str"/>
      <x:c r="R55" s="95" t="str"/>
      <x:c r="S55" s="95" t="str"/>
      <x:c r="T55" s="95" t="str"/>
      <x:c r="U55" s="95" t="str"/>
      <x:c r="V55" s="95" t="str"/>
      <x:c r="W55" s="95" t="str"/>
      <x:c r="X55" s="95" t="str"/>
      <x:c r="Y55" s="95" t="str"/>
      <x:c r="Z55" s="95" t="str"/>
      <x:c r="AA55" s="95" t="str"/>
      <x:c r="AB55" s="95" t="str"/>
    </x:row>
    <x:row r="56" ht="53" customHeight="1">
      <x:c r="A56" s="99" t="n">
        <x:v>46028</x:v>
      </x:c>
      <x:c r="B56" s="95" t="str">
        <x:v>D21 - Intensive Care</x:v>
      </x:c>
      <x:c r="C56" s="95" t="str">
        <x:v>Actual collection</x:v>
      </x:c>
      <x:c r="D56" s="95" t="n">
        <x:v>3</x:v>
      </x:c>
      <x:c r="E56" s="95" t="str"/>
      <x:c r="F56" s="95" t="str"/>
      <x:c r="G56" s="95" t="str"/>
      <x:c r="H56" s="95" t="str"/>
      <x:c r="I56" s="95" t="str"/>
      <x:c r="J56" s="95" t="str"/>
      <x:c r="K56" s="95" t="str"/>
      <x:c r="L56" s="95" t="str"/>
      <x:c r="M56" s="95" t="str"/>
      <x:c r="N56" s="95" t="str"/>
      <x:c r="O56" s="100" t="str">
        <x:v>10:23:34
10:35:56
10:53:45</x:v>
      </x:c>
      <x:c r="P56" s="95" t="str"/>
      <x:c r="Q56" s="95" t="str"/>
      <x:c r="R56" s="95" t="str"/>
      <x:c r="S56" s="95" t="str"/>
      <x:c r="T56" s="95" t="str"/>
      <x:c r="U56" s="95" t="str"/>
      <x:c r="V56" s="95" t="str"/>
      <x:c r="W56" s="95" t="str"/>
      <x:c r="X56" s="95" t="str"/>
      <x:c r="Y56" s="95" t="str"/>
      <x:c r="Z56" s="95" t="str"/>
      <x:c r="AA56" s="95" t="str"/>
      <x:c r="AB56" s="95" t="str"/>
    </x:row>
    <x:row r="57" ht="53" customHeight="1">
      <x:c r="A57" s="99" t="n">
        <x:v>46028</x:v>
      </x:c>
      <x:c r="B57" s="95" t="str">
        <x:v>D21 - Intensive Care</x:v>
      </x:c>
      <x:c r="C57" s="95" t="str">
        <x:v>Actual delivery</x:v>
      </x:c>
      <x:c r="D57" s="95" t="n">
        <x:v>3</x:v>
      </x:c>
      <x:c r="E57" s="95" t="str"/>
      <x:c r="F57" s="95" t="str"/>
      <x:c r="G57" s="95" t="str"/>
      <x:c r="H57" s="95" t="str"/>
      <x:c r="I57" s="95" t="str"/>
      <x:c r="J57" s="95" t="str"/>
      <x:c r="K57" s="95" t="str"/>
      <x:c r="L57" s="95" t="str"/>
      <x:c r="M57" s="95" t="str"/>
      <x:c r="N57" s="101" t="str">
        <x:v>09:19:59
09:33:37
09:50:49</x:v>
      </x:c>
      <x:c r="O57" s="95" t="str"/>
      <x:c r="P57" s="95" t="str"/>
      <x:c r="Q57" s="95" t="str"/>
      <x:c r="R57" s="95" t="str"/>
      <x:c r="S57" s="95" t="str"/>
      <x:c r="T57" s="95" t="str"/>
      <x:c r="U57" s="95" t="str"/>
      <x:c r="V57" s="95" t="str"/>
      <x:c r="W57" s="95" t="str"/>
      <x:c r="X57" s="95" t="str"/>
      <x:c r="Y57" s="95" t="str"/>
      <x:c r="Z57" s="95" t="str"/>
      <x:c r="AA57" s="95" t="str"/>
      <x:c r="AB57" s="95" t="str"/>
    </x:row>
    <x:row r="58" ht="53" customHeight="1">
      <x:c r="A58" s="99" t="n">
        <x:v>46028</x:v>
      </x:c>
      <x:c r="B58" s="95" t="str">
        <x:v>D35 - Respiratory Inpatients</x:v>
      </x:c>
      <x:c r="C58" s="95" t="str">
        <x:v>Actual collection</x:v>
      </x:c>
      <x:c r="D58" s="95" t="n">
        <x:v>3</x:v>
      </x:c>
      <x:c r="E58" s="95" t="str"/>
      <x:c r="F58" s="95" t="str"/>
      <x:c r="G58" s="95" t="str"/>
      <x:c r="H58" s="95" t="str"/>
      <x:c r="I58" s="95" t="str"/>
      <x:c r="J58" s="95" t="str"/>
      <x:c r="K58" s="95" t="str"/>
      <x:c r="L58" s="95" t="str"/>
      <x:c r="M58" s="95" t="str"/>
      <x:c r="N58" s="95" t="str"/>
      <x:c r="O58" s="95" t="str"/>
      <x:c r="P58" s="100" t="str">
        <x:v>11:08:41
11:36:04
11:51:10</x:v>
      </x:c>
      <x:c r="Q58" s="95" t="str"/>
      <x:c r="R58" s="95" t="str"/>
      <x:c r="S58" s="95" t="str"/>
      <x:c r="T58" s="95" t="str"/>
      <x:c r="U58" s="95" t="str"/>
      <x:c r="V58" s="95" t="str"/>
      <x:c r="W58" s="95" t="str"/>
      <x:c r="X58" s="95" t="str"/>
      <x:c r="Y58" s="95" t="str"/>
      <x:c r="Z58" s="95" t="str"/>
      <x:c r="AA58" s="95" t="str"/>
      <x:c r="AB58" s="95" t="str"/>
    </x:row>
    <x:row r="59" ht="53" customHeight="1">
      <x:c r="A59" s="99" t="n">
        <x:v>46028</x:v>
      </x:c>
      <x:c r="B59" s="95" t="str">
        <x:v>D35 - Respiratory Inpatients</x:v>
      </x:c>
      <x:c r="C59" s="95" t="str">
        <x:v>Actual delivery</x:v>
      </x:c>
      <x:c r="D59" s="95" t="n">
        <x:v>3</x:v>
      </x:c>
      <x:c r="E59" s="95" t="str"/>
      <x:c r="F59" s="95" t="str"/>
      <x:c r="G59" s="95" t="str"/>
      <x:c r="H59" s="95" t="str"/>
      <x:c r="I59" s="95" t="str"/>
      <x:c r="J59" s="95" t="str"/>
      <x:c r="K59" s="95" t="str"/>
      <x:c r="L59" s="95" t="str"/>
      <x:c r="M59" s="95" t="str"/>
      <x:c r="N59" s="95" t="str"/>
      <x:c r="O59" s="101" t="str">
        <x:v>10:07:28
10:34:52
10:49:57</x:v>
      </x:c>
      <x:c r="P59" s="95" t="str"/>
      <x:c r="Q59" s="95" t="str"/>
      <x:c r="R59" s="95" t="str"/>
      <x:c r="S59" s="95" t="str"/>
      <x:c r="T59" s="95" t="str"/>
      <x:c r="U59" s="95" t="str"/>
      <x:c r="V59" s="95" t="str"/>
      <x:c r="W59" s="95" t="str"/>
      <x:c r="X59" s="95" t="str"/>
      <x:c r="Y59" s="95" t="str"/>
      <x:c r="Z59" s="95" t="str"/>
      <x:c r="AA59" s="95" t="str"/>
      <x:c r="AB59" s="95" t="str"/>
    </x:row>
    <x:row r="60" ht="53" customHeight="1">
      <x:c r="A60" s="99" t="n">
        <x:v>46028</x:v>
      </x:c>
      <x:c r="B60" s="95" t="str">
        <x:v>D36 - Cardic Inpatients</x:v>
      </x:c>
      <x:c r="C60" s="95" t="str">
        <x:v>Actual collection</x:v>
      </x:c>
      <x:c r="D60" s="95" t="n">
        <x:v>3</x:v>
      </x:c>
      <x:c r="E60" s="95" t="str"/>
      <x:c r="F60" s="95" t="str"/>
      <x:c r="G60" s="95" t="str"/>
      <x:c r="H60" s="95" t="str"/>
      <x:c r="I60" s="95" t="str"/>
      <x:c r="J60" s="95" t="str"/>
      <x:c r="K60" s="95" t="str"/>
      <x:c r="L60" s="95" t="str"/>
      <x:c r="M60" s="95" t="str"/>
      <x:c r="N60" s="95" t="str"/>
      <x:c r="O60" s="95" t="str"/>
      <x:c r="P60" s="95" t="str"/>
      <x:c r="Q60" s="100" t="str">
        <x:v>12:05:37
12:43:07
12:55:46</x:v>
      </x:c>
      <x:c r="R60" s="95" t="str"/>
      <x:c r="S60" s="95" t="str"/>
      <x:c r="T60" s="95" t="str"/>
      <x:c r="U60" s="95" t="str"/>
      <x:c r="V60" s="95" t="str"/>
      <x:c r="W60" s="95" t="str"/>
      <x:c r="X60" s="95" t="str"/>
      <x:c r="Y60" s="95" t="str"/>
      <x:c r="Z60" s="95" t="str"/>
      <x:c r="AA60" s="95" t="str"/>
      <x:c r="AB60" s="95" t="str"/>
    </x:row>
    <x:row r="61" ht="53" customHeight="1">
      <x:c r="A61" s="99" t="n">
        <x:v>46028</x:v>
      </x:c>
      <x:c r="B61" s="95" t="str">
        <x:v>D36 - Cardic Inpatients</x:v>
      </x:c>
      <x:c r="C61" s="95" t="str">
        <x:v>Actual delivery</x:v>
      </x:c>
      <x:c r="D61" s="95" t="n">
        <x:v>3</x:v>
      </x:c>
      <x:c r="E61" s="95" t="str"/>
      <x:c r="F61" s="95" t="str"/>
      <x:c r="G61" s="95" t="str"/>
      <x:c r="H61" s="95" t="str"/>
      <x:c r="I61" s="95" t="str"/>
      <x:c r="J61" s="95" t="str"/>
      <x:c r="K61" s="95" t="str"/>
      <x:c r="L61" s="95" t="str"/>
      <x:c r="M61" s="95" t="str"/>
      <x:c r="N61" s="95" t="str"/>
      <x:c r="O61" s="95" t="str"/>
      <x:c r="P61" s="101" t="str">
        <x:v>11:04:40
11:34:59
11:49:36</x:v>
      </x:c>
      <x:c r="Q61" s="95" t="str"/>
      <x:c r="R61" s="95" t="str"/>
      <x:c r="S61" s="95" t="str"/>
      <x:c r="T61" s="95" t="str"/>
      <x:c r="U61" s="95" t="str"/>
      <x:c r="V61" s="95" t="str"/>
      <x:c r="W61" s="95" t="str"/>
      <x:c r="X61" s="95" t="str"/>
      <x:c r="Y61" s="95" t="str"/>
      <x:c r="Z61" s="95" t="str"/>
      <x:c r="AA61" s="95" t="str"/>
      <x:c r="AB61" s="95" t="str"/>
    </x:row>
    <x:row r="62" ht="53" customHeight="1">
      <x:c r="A62" s="99" t="n">
        <x:v>46028</x:v>
      </x:c>
      <x:c r="B62" s="95" t="str">
        <x:v>D39 - Adult Inpatients 6</x:v>
      </x:c>
      <x:c r="C62" s="95" t="str">
        <x:v>Actual collection</x:v>
      </x:c>
      <x:c r="D62" s="95" t="n">
        <x:v>3</x:v>
      </x:c>
      <x:c r="E62" s="95" t="str"/>
      <x:c r="F62" s="95" t="str"/>
      <x:c r="G62" s="95" t="str"/>
      <x:c r="H62" s="95" t="str"/>
      <x:c r="I62" s="95" t="str"/>
      <x:c r="J62" s="95" t="str"/>
      <x:c r="K62" s="95" t="str"/>
      <x:c r="L62" s="95" t="str"/>
      <x:c r="M62" s="95" t="str"/>
      <x:c r="N62" s="95" t="str"/>
      <x:c r="O62" s="95" t="str"/>
      <x:c r="P62" s="95" t="str"/>
      <x:c r="Q62" s="95" t="str"/>
      <x:c r="R62" s="100" t="str">
        <x:v>13:12:25
13:39:15
13:55:45</x:v>
      </x:c>
      <x:c r="S62" s="95" t="str"/>
      <x:c r="T62" s="95" t="str"/>
      <x:c r="U62" s="95" t="str"/>
      <x:c r="V62" s="95" t="str"/>
      <x:c r="W62" s="95" t="str"/>
      <x:c r="X62" s="95" t="str"/>
      <x:c r="Y62" s="95" t="str"/>
      <x:c r="Z62" s="95" t="str"/>
      <x:c r="AA62" s="95" t="str"/>
      <x:c r="AB62" s="95" t="str"/>
    </x:row>
    <x:row r="63" ht="53" customHeight="1">
      <x:c r="A63" s="99" t="n">
        <x:v>46028</x:v>
      </x:c>
      <x:c r="B63" s="95" t="str">
        <x:v>D39 - Adult Inpatients 6</x:v>
      </x:c>
      <x:c r="C63" s="95" t="str">
        <x:v>Actual delivery</x:v>
      </x:c>
      <x:c r="D63" s="95" t="n">
        <x:v>3</x:v>
      </x:c>
      <x:c r="E63" s="95" t="str"/>
      <x:c r="F63" s="95" t="str"/>
      <x:c r="G63" s="95" t="str"/>
      <x:c r="H63" s="95" t="str"/>
      <x:c r="I63" s="95" t="str"/>
      <x:c r="J63" s="95" t="str"/>
      <x:c r="K63" s="95" t="str"/>
      <x:c r="L63" s="95" t="str"/>
      <x:c r="M63" s="95" t="str"/>
      <x:c r="N63" s="95" t="str"/>
      <x:c r="O63" s="95" t="str"/>
      <x:c r="P63" s="95" t="str"/>
      <x:c r="Q63" s="101" t="str">
        <x:v>12:04:43
12:34:54
12:54:39</x:v>
      </x:c>
      <x:c r="R63" s="95" t="str"/>
      <x:c r="S63" s="95" t="str"/>
      <x:c r="T63" s="95" t="str"/>
      <x:c r="U63" s="95" t="str"/>
      <x:c r="V63" s="95" t="str"/>
      <x:c r="W63" s="95" t="str"/>
      <x:c r="X63" s="95" t="str"/>
      <x:c r="Y63" s="95" t="str"/>
      <x:c r="Z63" s="95" t="str"/>
      <x:c r="AA63" s="95" t="str"/>
      <x:c r="AB63" s="95" t="str"/>
    </x:row>
    <x:row r="64" ht="38" customHeight="1">
      <x:c r="A64" s="99" t="n">
        <x:v>46028</x:v>
      </x:c>
      <x:c r="B64" s="95" t="str">
        <x:v>D40 - Adult Inpatients 7</x:v>
      </x:c>
      <x:c r="C64" s="95" t="str">
        <x:v>Actual collection</x:v>
      </x:c>
      <x:c r="D64" s="95" t="n">
        <x:v>3</x:v>
      </x:c>
      <x:c r="E64" s="95" t="str"/>
      <x:c r="F64" s="95" t="str"/>
      <x:c r="G64" s="95" t="str"/>
      <x:c r="H64" s="95" t="str"/>
      <x:c r="I64" s="95" t="str"/>
      <x:c r="J64" s="95" t="str"/>
      <x:c r="K64" s="95" t="str"/>
      <x:c r="L64" s="95" t="str"/>
      <x:c r="M64" s="95" t="str"/>
      <x:c r="N64" s="95" t="str"/>
      <x:c r="O64" s="95" t="str"/>
      <x:c r="P64" s="95" t="str"/>
      <x:c r="Q64" s="95" t="str"/>
      <x:c r="R64" s="95" t="str"/>
      <x:c r="S64" s="100" t="str">
        <x:v>14:15:25
14:36:02</x:v>
      </x:c>
      <x:c r="T64" s="100" t="str">
        <x:v>15:05:03</x:v>
      </x:c>
      <x:c r="U64" s="95" t="str"/>
      <x:c r="V64" s="95" t="str"/>
      <x:c r="W64" s="95" t="str"/>
      <x:c r="X64" s="95" t="str"/>
      <x:c r="Y64" s="95" t="str"/>
      <x:c r="Z64" s="95" t="str"/>
      <x:c r="AA64" s="95" t="str"/>
      <x:c r="AB64" s="95" t="str"/>
    </x:row>
    <x:row r="65" ht="53" customHeight="1">
      <x:c r="A65" s="99" t="n">
        <x:v>46028</x:v>
      </x:c>
      <x:c r="B65" s="95" t="str">
        <x:v>D40 - Adult Inpatients 7</x:v>
      </x:c>
      <x:c r="C65" s="95" t="str">
        <x:v>Actual delivery</x:v>
      </x:c>
      <x:c r="D65" s="95" t="n">
        <x:v>3</x:v>
      </x:c>
      <x:c r="E65" s="95" t="str"/>
      <x:c r="F65" s="95" t="str"/>
      <x:c r="G65" s="95" t="str"/>
      <x:c r="H65" s="95" t="str"/>
      <x:c r="I65" s="95" t="str"/>
      <x:c r="J65" s="95" t="str"/>
      <x:c r="K65" s="95" t="str"/>
      <x:c r="L65" s="95" t="str"/>
      <x:c r="M65" s="95" t="str"/>
      <x:c r="N65" s="95" t="str"/>
      <x:c r="O65" s="95" t="str"/>
      <x:c r="P65" s="95" t="str"/>
      <x:c r="Q65" s="95" t="str"/>
      <x:c r="R65" s="101" t="str">
        <x:v>13:10:43
13:34:58
13:49:56</x:v>
      </x:c>
      <x:c r="S65" s="95" t="str"/>
      <x:c r="T65" s="95" t="str"/>
      <x:c r="U65" s="95" t="str"/>
      <x:c r="V65" s="95" t="str"/>
      <x:c r="W65" s="95" t="str"/>
      <x:c r="X65" s="95" t="str"/>
      <x:c r="Y65" s="95" t="str"/>
      <x:c r="Z65" s="95" t="str"/>
      <x:c r="AA65" s="95" t="str"/>
      <x:c r="AB65" s="95" t="str"/>
    </x:row>
    <x:row r="66" ht="53" customHeight="1">
      <x:c r="A66" s="99" t="n">
        <x:v>46028</x:v>
      </x:c>
      <x:c r="B66" s="95" t="str">
        <x:v>D41 - Adult Inpatients 8</x:v>
      </x:c>
      <x:c r="C66" s="95" t="str">
        <x:v>Actual collection</x:v>
      </x:c>
      <x:c r="D66" s="95" t="n">
        <x:v>3</x:v>
      </x:c>
      <x:c r="E66" s="95" t="str"/>
      <x:c r="F66" s="95" t="str"/>
      <x:c r="G66" s="95" t="str"/>
      <x:c r="H66" s="95" t="str"/>
      <x:c r="I66" s="95" t="str"/>
      <x:c r="J66" s="95" t="str"/>
      <x:c r="K66" s="95" t="str"/>
      <x:c r="L66" s="95" t="str"/>
      <x:c r="M66" s="95" t="str"/>
      <x:c r="N66" s="95" t="str"/>
      <x:c r="O66" s="95" t="str"/>
      <x:c r="P66" s="95" t="str"/>
      <x:c r="Q66" s="95" t="str"/>
      <x:c r="R66" s="95" t="str"/>
      <x:c r="S66" s="95" t="str"/>
      <x:c r="T66" s="100" t="str">
        <x:v>15:18:42
15:38:38
15:53:30</x:v>
      </x:c>
      <x:c r="U66" s="95" t="str"/>
      <x:c r="V66" s="95" t="str"/>
      <x:c r="W66" s="95" t="str"/>
      <x:c r="X66" s="95" t="str"/>
      <x:c r="Y66" s="95" t="str"/>
      <x:c r="Z66" s="95" t="str"/>
      <x:c r="AA66" s="95" t="str"/>
      <x:c r="AB66" s="95" t="str"/>
    </x:row>
    <x:row r="67" ht="53" customHeight="1">
      <x:c r="A67" s="99" t="n">
        <x:v>46028</x:v>
      </x:c>
      <x:c r="B67" s="95" t="str">
        <x:v>D41 - Adult Inpatients 8</x:v>
      </x:c>
      <x:c r="C67" s="95" t="str">
        <x:v>Actual delivery</x:v>
      </x:c>
      <x:c r="D67" s="95" t="n">
        <x:v>3</x:v>
      </x:c>
      <x:c r="E67" s="95" t="str"/>
      <x:c r="F67" s="95" t="str"/>
      <x:c r="G67" s="95" t="str"/>
      <x:c r="H67" s="95" t="str"/>
      <x:c r="I67" s="95" t="str"/>
      <x:c r="J67" s="95" t="str"/>
      <x:c r="K67" s="95" t="str"/>
      <x:c r="L67" s="95" t="str"/>
      <x:c r="M67" s="95" t="str"/>
      <x:c r="N67" s="95" t="str"/>
      <x:c r="O67" s="95" t="str"/>
      <x:c r="P67" s="95" t="str"/>
      <x:c r="Q67" s="95" t="str"/>
      <x:c r="R67" s="95" t="str"/>
      <x:c r="S67" s="101" t="str">
        <x:v>14:05:14
14:35:21
14:50:05</x:v>
      </x:c>
      <x:c r="T67" s="95" t="str"/>
      <x:c r="U67" s="95" t="str"/>
      <x:c r="V67" s="95" t="str"/>
      <x:c r="W67" s="95" t="str"/>
      <x:c r="X67" s="95" t="str"/>
      <x:c r="Y67" s="95" t="str"/>
      <x:c r="Z67" s="95" t="str"/>
      <x:c r="AA67" s="95" t="str"/>
      <x:c r="AB67" s="95" t="str"/>
    </x:row>
    <x:row r="68" ht="53" customHeight="1">
      <x:c r="A68" s="99" t="n">
        <x:v>46028</x:v>
      </x:c>
      <x:c r="B68" s="95" t="str">
        <x:v>D42 - Stroke Inpatients</x:v>
      </x:c>
      <x:c r="C68" s="95" t="str">
        <x:v>Actual collection</x:v>
      </x:c>
      <x:c r="D68" s="95" t="n">
        <x:v>3</x:v>
      </x:c>
      <x:c r="E68" s="95" t="str"/>
      <x:c r="F68" s="95" t="str"/>
      <x:c r="G68" s="95" t="str"/>
      <x:c r="H68" s="95" t="str"/>
      <x:c r="I68" s="95" t="str"/>
      <x:c r="J68" s="95" t="str"/>
      <x:c r="K68" s="95" t="str"/>
      <x:c r="L68" s="95" t="str"/>
      <x:c r="M68" s="95" t="str"/>
      <x:c r="N68" s="95" t="str"/>
      <x:c r="O68" s="95" t="str"/>
      <x:c r="P68" s="95" t="str"/>
      <x:c r="Q68" s="95" t="str"/>
      <x:c r="R68" s="95" t="str"/>
      <x:c r="S68" s="95" t="str"/>
      <x:c r="T68" s="95" t="str"/>
      <x:c r="U68" s="100" t="str">
        <x:v>16:17:27
16:35:30
16:50:30</x:v>
      </x:c>
      <x:c r="V68" s="95" t="str"/>
      <x:c r="W68" s="95" t="str"/>
      <x:c r="X68" s="95" t="str"/>
      <x:c r="Y68" s="95" t="str"/>
      <x:c r="Z68" s="95" t="str"/>
      <x:c r="AA68" s="95" t="str"/>
      <x:c r="AB68" s="95" t="str"/>
    </x:row>
    <x:row r="69" ht="53" customHeight="1">
      <x:c r="A69" s="99" t="n">
        <x:v>46028</x:v>
      </x:c>
      <x:c r="B69" s="95" t="str">
        <x:v>D42 - Stroke Inpatients</x:v>
      </x:c>
      <x:c r="C69" s="95" t="str">
        <x:v>Actual delivery</x:v>
      </x:c>
      <x:c r="D69" s="95" t="n">
        <x:v>3</x:v>
      </x:c>
      <x:c r="E69" s="95" t="str"/>
      <x:c r="F69" s="95" t="str"/>
      <x:c r="G69" s="95" t="str"/>
      <x:c r="H69" s="95" t="str"/>
      <x:c r="I69" s="95" t="str"/>
      <x:c r="J69" s="95" t="str"/>
      <x:c r="K69" s="95" t="str"/>
      <x:c r="L69" s="95" t="str"/>
      <x:c r="M69" s="95" t="str"/>
      <x:c r="N69" s="95" t="str"/>
      <x:c r="O69" s="95" t="str"/>
      <x:c r="P69" s="95" t="str"/>
      <x:c r="Q69" s="95" t="str"/>
      <x:c r="R69" s="95" t="str"/>
      <x:c r="S69" s="95" t="str"/>
      <x:c r="T69" s="101" t="str">
        <x:v>15:16:31
15:34:34
15:49:33</x:v>
      </x:c>
      <x:c r="U69" s="95" t="str"/>
      <x:c r="V69" s="95" t="str"/>
      <x:c r="W69" s="95" t="str"/>
      <x:c r="X69" s="95" t="str"/>
      <x:c r="Y69" s="95" t="str"/>
      <x:c r="Z69" s="95" t="str"/>
      <x:c r="AA69" s="95" t="str"/>
      <x:c r="AB69" s="95" t="str"/>
    </x:row>
    <x:row r="70" ht="28" customHeight="1">
      <x:c r="A70" s="99" t="n">
        <x:v>46029</x:v>
      </x:c>
      <x:c r="B70" s="95" t="str">
        <x:v>D10 - Minor Injuries</x:v>
      </x:c>
      <x:c r="C70" s="95" t="str">
        <x:v>Actual collection</x:v>
      </x:c>
      <x:c r="D70" s="95" t="n">
        <x:v>3</x:v>
      </x:c>
      <x:c r="E70" s="95" t="str"/>
      <x:c r="F70" s="95" t="str"/>
      <x:c r="G70" s="95" t="str"/>
      <x:c r="H70" s="95" t="str"/>
      <x:c r="I70" s="95" t="str"/>
      <x:c r="J70" s="95" t="str"/>
      <x:c r="K70" s="95" t="str"/>
      <x:c r="L70" s="100" t="str">
        <x:v>07:06:39</x:v>
      </x:c>
      <x:c r="M70" s="100" t="str">
        <x:v>08:21:31</x:v>
      </x:c>
      <x:c r="N70" s="95" t="str"/>
      <x:c r="O70" s="95" t="str"/>
      <x:c r="P70" s="95" t="str"/>
      <x:c r="Q70" s="95" t="str"/>
      <x:c r="R70" s="95" t="str"/>
      <x:c r="S70" s="95" t="str"/>
      <x:c r="T70" s="100" t="str">
        <x:v>15:47:05</x:v>
      </x:c>
      <x:c r="U70" s="95" t="str"/>
      <x:c r="V70" s="95" t="str"/>
      <x:c r="W70" s="95" t="str"/>
      <x:c r="X70" s="95" t="str"/>
      <x:c r="Y70" s="95" t="str"/>
      <x:c r="Z70" s="95" t="str"/>
      <x:c r="AA70" s="95" t="str"/>
      <x:c r="AB70" s="95" t="str"/>
    </x:row>
    <x:row r="71" ht="38" customHeight="1">
      <x:c r="A71" s="99" t="n">
        <x:v>46029</x:v>
      </x:c>
      <x:c r="B71" s="95" t="str">
        <x:v>D10 - Minor Injuries</x:v>
      </x:c>
      <x:c r="C71" s="95" t="str">
        <x:v>Actual delivery</x:v>
      </x:c>
      <x:c r="D71" s="95" t="n">
        <x:v>3</x:v>
      </x:c>
      <x:c r="E71" s="95" t="str"/>
      <x:c r="F71" s="95" t="str"/>
      <x:c r="G71" s="95" t="str"/>
      <x:c r="H71" s="95" t="str"/>
      <x:c r="I71" s="95" t="str"/>
      <x:c r="J71" s="95" t="str"/>
      <x:c r="K71" s="101" t="str">
        <x:v>06:05:26
06:49:39</x:v>
      </x:c>
      <x:c r="L71" s="101" t="str">
        <x:v>07:19:39</x:v>
      </x:c>
      <x:c r="M71" s="95" t="str"/>
      <x:c r="N71" s="95" t="str"/>
      <x:c r="O71" s="95" t="str"/>
      <x:c r="P71" s="95" t="str"/>
      <x:c r="Q71" s="95" t="str"/>
      <x:c r="R71" s="95" t="str"/>
      <x:c r="S71" s="95" t="str"/>
      <x:c r="T71" s="95" t="str"/>
      <x:c r="U71" s="95" t="str"/>
      <x:c r="V71" s="95" t="str"/>
      <x:c r="W71" s="95" t="str"/>
      <x:c r="X71" s="95" t="str"/>
      <x:c r="Y71" s="95" t="str"/>
      <x:c r="Z71" s="95" t="str"/>
      <x:c r="AA71" s="95" t="str"/>
      <x:c r="AB71" s="95" t="str"/>
    </x:row>
    <x:row r="72" ht="38" customHeight="1">
      <x:c r="A72" s="99" t="n">
        <x:v>46029</x:v>
      </x:c>
      <x:c r="B72" s="95" t="str">
        <x:v>D12 - ED-Majors</x:v>
      </x:c>
      <x:c r="C72" s="95" t="str">
        <x:v>Actual collection</x:v>
      </x:c>
      <x:c r="D72" s="95" t="n">
        <x:v>3</x:v>
      </x:c>
      <x:c r="E72" s="95" t="str"/>
      <x:c r="F72" s="95" t="str"/>
      <x:c r="G72" s="95" t="str"/>
      <x:c r="H72" s="95" t="str"/>
      <x:c r="I72" s="95" t="str"/>
      <x:c r="J72" s="95" t="str"/>
      <x:c r="K72" s="95" t="str"/>
      <x:c r="L72" s="95" t="str"/>
      <x:c r="M72" s="100" t="str">
        <x:v>08:22:04
08:42:17</x:v>
      </x:c>
      <x:c r="N72" s="100" t="str">
        <x:v>09:21:47</x:v>
      </x:c>
      <x:c r="O72" s="95" t="str"/>
      <x:c r="P72" s="95" t="str"/>
      <x:c r="Q72" s="95" t="str"/>
      <x:c r="R72" s="95" t="str"/>
      <x:c r="S72" s="95" t="str"/>
      <x:c r="T72" s="95" t="str"/>
      <x:c r="U72" s="95" t="str"/>
      <x:c r="V72" s="95" t="str"/>
      <x:c r="W72" s="95" t="str"/>
      <x:c r="X72" s="95" t="str"/>
      <x:c r="Y72" s="95" t="str"/>
      <x:c r="Z72" s="95" t="str"/>
      <x:c r="AA72" s="95" t="str"/>
      <x:c r="AB72" s="95" t="str"/>
    </x:row>
    <x:row r="73" ht="28" customHeight="1">
      <x:c r="A73" s="99" t="n">
        <x:v>46029</x:v>
      </x:c>
      <x:c r="B73" s="95" t="str">
        <x:v>D12 - ED-Majors</x:v>
      </x:c>
      <x:c r="C73" s="95" t="str">
        <x:v>Actual delivery</x:v>
      </x:c>
      <x:c r="D73" s="95" t="n">
        <x:v>3</x:v>
      </x:c>
      <x:c r="E73" s="95" t="str"/>
      <x:c r="F73" s="95" t="str"/>
      <x:c r="G73" s="95" t="str"/>
      <x:c r="H73" s="95" t="str"/>
      <x:c r="I73" s="95" t="str"/>
      <x:c r="J73" s="95" t="str"/>
      <x:c r="K73" s="95" t="str"/>
      <x:c r="L73" s="101" t="str">
        <x:v>07:50:19</x:v>
      </x:c>
      <x:c r="M73" s="101" t="str">
        <x:v>08:22:42</x:v>
      </x:c>
      <x:c r="N73" s="101" t="str">
        <x:v>09:04:57</x:v>
      </x:c>
      <x:c r="O73" s="95" t="str"/>
      <x:c r="P73" s="95" t="str"/>
      <x:c r="Q73" s="95" t="str"/>
      <x:c r="R73" s="95" t="str"/>
      <x:c r="S73" s="95" t="str"/>
      <x:c r="T73" s="95" t="str"/>
      <x:c r="U73" s="95" t="str"/>
      <x:c r="V73" s="95" t="str"/>
      <x:c r="W73" s="95" t="str"/>
      <x:c r="X73" s="95" t="str"/>
      <x:c r="Y73" s="95" t="str"/>
      <x:c r="Z73" s="95" t="str"/>
      <x:c r="AA73" s="95" t="str"/>
      <x:c r="AB73" s="95" t="str"/>
    </x:row>
    <x:row r="74" ht="38" customHeight="1">
      <x:c r="A74" s="99" t="n">
        <x:v>46029</x:v>
      </x:c>
      <x:c r="B74" s="95" t="str">
        <x:v>D19 - Birthing Suite</x:v>
      </x:c>
      <x:c r="C74" s="95" t="str">
        <x:v>Actual collection</x:v>
      </x:c>
      <x:c r="D74" s="95" t="n">
        <x:v>3</x:v>
      </x:c>
      <x:c r="E74" s="95" t="str"/>
      <x:c r="F74" s="95" t="str"/>
      <x:c r="G74" s="95" t="str"/>
      <x:c r="H74" s="95" t="str"/>
      <x:c r="I74" s="95" t="str"/>
      <x:c r="J74" s="95" t="str"/>
      <x:c r="K74" s="95" t="str"/>
      <x:c r="L74" s="95" t="str"/>
      <x:c r="M74" s="95" t="str"/>
      <x:c r="N74" s="95" t="str"/>
      <x:c r="O74" s="100" t="str">
        <x:v>10:35:17</x:v>
      </x:c>
      <x:c r="P74" s="100" t="str">
        <x:v>11:11:22
11:39:57</x:v>
      </x:c>
      <x:c r="Q74" s="95" t="str"/>
      <x:c r="R74" s="95" t="str"/>
      <x:c r="S74" s="95" t="str"/>
      <x:c r="T74" s="95" t="str"/>
      <x:c r="U74" s="95" t="str"/>
      <x:c r="V74" s="95" t="str"/>
      <x:c r="W74" s="95" t="str"/>
      <x:c r="X74" s="95" t="str"/>
      <x:c r="Y74" s="95" t="str"/>
      <x:c r="Z74" s="95" t="str"/>
      <x:c r="AA74" s="95" t="str"/>
      <x:c r="AB74" s="95" t="str"/>
    </x:row>
    <x:row r="75" ht="38" customHeight="1">
      <x:c r="A75" s="99" t="n">
        <x:v>46029</x:v>
      </x:c>
      <x:c r="B75" s="95" t="str">
        <x:v>D19 - Birthing Suite</x:v>
      </x:c>
      <x:c r="C75" s="95" t="str">
        <x:v>Actual delivery</x:v>
      </x:c>
      <x:c r="D75" s="95" t="n">
        <x:v>3</x:v>
      </x:c>
      <x:c r="E75" s="95" t="str"/>
      <x:c r="F75" s="95" t="str"/>
      <x:c r="G75" s="95" t="str"/>
      <x:c r="H75" s="95" t="str"/>
      <x:c r="I75" s="95" t="str"/>
      <x:c r="J75" s="95" t="str"/>
      <x:c r="K75" s="95" t="str"/>
      <x:c r="L75" s="95" t="str"/>
      <x:c r="M75" s="95" t="str"/>
      <x:c r="N75" s="101" t="str">
        <x:v>09:33:51</x:v>
      </x:c>
      <x:c r="O75" s="101" t="str">
        <x:v>10:04:10
10:35:46</x:v>
      </x:c>
      <x:c r="P75" s="95" t="str"/>
      <x:c r="Q75" s="95" t="str"/>
      <x:c r="R75" s="95" t="str"/>
      <x:c r="S75" s="95" t="str"/>
      <x:c r="T75" s="95" t="str"/>
      <x:c r="U75" s="95" t="str"/>
      <x:c r="V75" s="95" t="str"/>
      <x:c r="W75" s="95" t="str"/>
      <x:c r="X75" s="95" t="str"/>
      <x:c r="Y75" s="95" t="str"/>
      <x:c r="Z75" s="95" t="str"/>
      <x:c r="AA75" s="95" t="str"/>
      <x:c r="AB75" s="95" t="str"/>
    </x:row>
    <x:row r="76" ht="38" customHeight="1">
      <x:c r="A76" s="99" t="n">
        <x:v>46029</x:v>
      </x:c>
      <x:c r="B76" s="95" t="str">
        <x:v>D30 - Maternity Inpatients</x:v>
      </x:c>
      <x:c r="C76" s="95" t="str">
        <x:v>Actual collection</x:v>
      </x:c>
      <x:c r="D76" s="95" t="n">
        <x:v>3</x:v>
      </x:c>
      <x:c r="E76" s="95" t="str"/>
      <x:c r="F76" s="95" t="str"/>
      <x:c r="G76" s="95" t="str"/>
      <x:c r="H76" s="95" t="str"/>
      <x:c r="I76" s="95" t="str"/>
      <x:c r="J76" s="95" t="str"/>
      <x:c r="K76" s="95" t="str"/>
      <x:c r="L76" s="95" t="str"/>
      <x:c r="M76" s="95" t="str"/>
      <x:c r="N76" s="95" t="str"/>
      <x:c r="O76" s="95" t="str"/>
      <x:c r="P76" s="95" t="str"/>
      <x:c r="Q76" s="100" t="str">
        <x:v>12:17:31
12:50:33</x:v>
      </x:c>
      <x:c r="R76" s="100" t="str">
        <x:v>13:20:57</x:v>
      </x:c>
      <x:c r="S76" s="95" t="str"/>
      <x:c r="T76" s="95" t="str"/>
      <x:c r="U76" s="95" t="str"/>
      <x:c r="V76" s="95" t="str"/>
      <x:c r="W76" s="95" t="str"/>
      <x:c r="X76" s="95" t="str"/>
      <x:c r="Y76" s="95" t="str"/>
      <x:c r="Z76" s="95" t="str"/>
      <x:c r="AA76" s="95" t="str"/>
      <x:c r="AB76" s="95" t="str"/>
    </x:row>
    <x:row r="77" ht="38" customHeight="1">
      <x:c r="A77" s="99" t="n">
        <x:v>46029</x:v>
      </x:c>
      <x:c r="B77" s="95" t="str">
        <x:v>D30 - Maternity Inpatients</x:v>
      </x:c>
      <x:c r="C77" s="95" t="str">
        <x:v>Actual delivery</x:v>
      </x:c>
      <x:c r="D77" s="95" t="n">
        <x:v>3</x:v>
      </x:c>
      <x:c r="E77" s="95" t="str"/>
      <x:c r="F77" s="95" t="str"/>
      <x:c r="G77" s="95" t="str"/>
      <x:c r="H77" s="95" t="str"/>
      <x:c r="I77" s="95" t="str"/>
      <x:c r="J77" s="95" t="str"/>
      <x:c r="K77" s="95" t="str"/>
      <x:c r="L77" s="95" t="str"/>
      <x:c r="M77" s="95" t="str"/>
      <x:c r="N77" s="95" t="str"/>
      <x:c r="O77" s="95" t="str"/>
      <x:c r="P77" s="101" t="str">
        <x:v>11:14:21
11:49:36</x:v>
      </x:c>
      <x:c r="Q77" s="101" t="str">
        <x:v>12:20:00</x:v>
      </x:c>
      <x:c r="R77" s="95" t="str"/>
      <x:c r="S77" s="95" t="str"/>
      <x:c r="T77" s="95" t="str"/>
      <x:c r="U77" s="95" t="str"/>
      <x:c r="V77" s="95" t="str"/>
      <x:c r="W77" s="95" t="str"/>
      <x:c r="X77" s="95" t="str"/>
      <x:c r="Y77" s="95" t="str"/>
      <x:c r="Z77" s="95" t="str"/>
      <x:c r="AA77" s="95" t="str"/>
      <x:c r="AB77" s="95" t="str"/>
    </x:row>
    <x:row r="78" ht="38" customHeight="1">
      <x:c r="A78" s="99" t="n">
        <x:v>46029</x:v>
      </x:c>
      <x:c r="B78" s="95" t="str">
        <x:v>D43 - Adult Inpatients 9</x:v>
      </x:c>
      <x:c r="C78" s="95" t="str">
        <x:v>Actual collection</x:v>
      </x:c>
      <x:c r="D78" s="95" t="n">
        <x:v>3</x:v>
      </x:c>
      <x:c r="E78" s="95" t="str"/>
      <x:c r="F78" s="95" t="str"/>
      <x:c r="G78" s="95" t="str"/>
      <x:c r="H78" s="95" t="str"/>
      <x:c r="I78" s="95" t="str"/>
      <x:c r="J78" s="95" t="str"/>
      <x:c r="K78" s="95" t="str"/>
      <x:c r="L78" s="95" t="str"/>
      <x:c r="M78" s="95" t="str"/>
      <x:c r="N78" s="95" t="str"/>
      <x:c r="O78" s="95" t="str"/>
      <x:c r="P78" s="95" t="str"/>
      <x:c r="Q78" s="95" t="str"/>
      <x:c r="R78" s="95" t="str"/>
      <x:c r="S78" s="95" t="str"/>
      <x:c r="T78" s="100" t="str">
        <x:v>15:44:18</x:v>
      </x:c>
      <x:c r="U78" s="95" t="str"/>
      <x:c r="V78" s="95" t="str"/>
      <x:c r="W78" s="95" t="str"/>
      <x:c r="X78" s="100" t="str">
        <x:v>19:35:51
19:40:11</x:v>
      </x:c>
      <x:c r="Y78" s="95" t="str"/>
      <x:c r="Z78" s="95" t="str"/>
      <x:c r="AA78" s="95" t="str"/>
      <x:c r="AB78" s="95" t="str"/>
    </x:row>
    <x:row r="79" ht="28" customHeight="1">
      <x:c r="A79" s="99" t="n">
        <x:v>46029</x:v>
      </x:c>
      <x:c r="B79" s="95" t="str">
        <x:v>D43 - Adult Inpatients 9</x:v>
      </x:c>
      <x:c r="C79" s="95" t="str">
        <x:v>Actual delivery</x:v>
      </x:c>
      <x:c r="D79" s="95" t="n">
        <x:v>3</x:v>
      </x:c>
      <x:c r="E79" s="95" t="str"/>
      <x:c r="F79" s="95" t="str"/>
      <x:c r="G79" s="95" t="str"/>
      <x:c r="H79" s="95" t="str"/>
      <x:c r="I79" s="95" t="str"/>
      <x:c r="J79" s="95" t="str"/>
      <x:c r="K79" s="95" t="str"/>
      <x:c r="L79" s="95" t="str"/>
      <x:c r="M79" s="95" t="str"/>
      <x:c r="N79" s="95" t="str"/>
      <x:c r="O79" s="95" t="str"/>
      <x:c r="P79" s="95" t="str"/>
      <x:c r="Q79" s="101" t="str">
        <x:v>12:50:10</x:v>
      </x:c>
      <x:c r="R79" s="101" t="str">
        <x:v>13:19:39</x:v>
      </x:c>
      <x:c r="S79" s="101" t="str">
        <x:v>14:12:25</x:v>
      </x:c>
      <x:c r="T79" s="95" t="str"/>
      <x:c r="U79" s="95" t="str"/>
      <x:c r="V79" s="95" t="str"/>
      <x:c r="W79" s="95" t="str"/>
      <x:c r="X79" s="95" t="str"/>
      <x:c r="Y79" s="95" t="str"/>
      <x:c r="Z79" s="95" t="str"/>
      <x:c r="AA79" s="95" t="str"/>
      <x:c r="AB79" s="95" t="str"/>
    </x:row>
    <x:row r="80" ht="38" customHeight="1">
      <x:c r="A80" s="99" t="n">
        <x:v>46029</x:v>
      </x:c>
      <x:c r="B80" s="95" t="str">
        <x:v>D46 - Surgical Ward</x:v>
      </x:c>
      <x:c r="C80" s="95" t="str">
        <x:v>Actual collection</x:v>
      </x:c>
      <x:c r="D80" s="95" t="n">
        <x:v>3</x:v>
      </x:c>
      <x:c r="E80" s="95" t="str"/>
      <x:c r="F80" s="95" t="str"/>
      <x:c r="G80" s="95" t="str"/>
      <x:c r="H80" s="95" t="str"/>
      <x:c r="I80" s="95" t="str"/>
      <x:c r="J80" s="95" t="str"/>
      <x:c r="K80" s="95" t="str"/>
      <x:c r="L80" s="95" t="str"/>
      <x:c r="M80" s="95" t="str"/>
      <x:c r="N80" s="95" t="str"/>
      <x:c r="O80" s="95" t="str"/>
      <x:c r="P80" s="95" t="str"/>
      <x:c r="Q80" s="95" t="str"/>
      <x:c r="R80" s="95" t="str"/>
      <x:c r="S80" s="95" t="str"/>
      <x:c r="T80" s="100" t="str">
        <x:v>15:44:18</x:v>
      </x:c>
      <x:c r="U80" s="100" t="str">
        <x:v>16:53:05
16:56:51</x:v>
      </x:c>
      <x:c r="V80" s="95" t="str"/>
      <x:c r="W80" s="95" t="str"/>
      <x:c r="X80" s="95" t="str"/>
      <x:c r="Y80" s="95" t="str"/>
      <x:c r="Z80" s="95" t="str"/>
      <x:c r="AA80" s="95" t="str"/>
      <x:c r="AB80" s="95" t="str"/>
    </x:row>
    <x:row r="81" ht="38" customHeight="1">
      <x:c r="A81" s="99" t="n">
        <x:v>46029</x:v>
      </x:c>
      <x:c r="B81" s="95" t="str">
        <x:v>D46 - Surgical Ward</x:v>
      </x:c>
      <x:c r="C81" s="95" t="str">
        <x:v>Actual delivery</x:v>
      </x:c>
      <x:c r="D81" s="95" t="n">
        <x:v>3</x:v>
      </x:c>
      <x:c r="E81" s="95" t="str"/>
      <x:c r="F81" s="95" t="str"/>
      <x:c r="G81" s="95" t="str"/>
      <x:c r="H81" s="95" t="str"/>
      <x:c r="I81" s="95" t="str"/>
      <x:c r="J81" s="95" t="str"/>
      <x:c r="K81" s="95" t="str"/>
      <x:c r="L81" s="95" t="str"/>
      <x:c r="M81" s="95" t="str"/>
      <x:c r="N81" s="95" t="str"/>
      <x:c r="O81" s="95" t="str"/>
      <x:c r="P81" s="95" t="str"/>
      <x:c r="Q81" s="95" t="str"/>
      <x:c r="R81" s="95" t="str"/>
      <x:c r="S81" s="101" t="str">
        <x:v>14:36:15</x:v>
      </x:c>
      <x:c r="T81" s="101" t="str">
        <x:v>15:50:34
15:51:31</x:v>
      </x:c>
      <x:c r="U81" s="95" t="str"/>
      <x:c r="V81" s="95" t="str"/>
      <x:c r="W81" s="95" t="str"/>
      <x:c r="X81" s="95" t="str"/>
      <x:c r="Y81" s="95" t="str"/>
      <x:c r="Z81" s="95" t="str"/>
      <x:c r="AA81" s="95" t="str"/>
      <x:c r="AB81" s="95" t="str"/>
    </x:row>
  </x:sheetData>
  <x:mergeCells>
    <x:mergeCell ref="A2:AB2"/>
    <x:mergeCell ref="A3:AB4"/>
  </x:mergeCells>
  <x:pageMargins left="0.7" right="0.7" top="0.75" bottom="0.75" header="0.3" footer="0.3"/>
  <x:tableParts count="1">
    <x:tablePart xmlns:r="http://schemas.openxmlformats.org/officeDocument/2006/relationships" r:id="Rcb0ca0b42eae4cc0"/>
  </x:tableParts>
</x:worksheet>
</file>