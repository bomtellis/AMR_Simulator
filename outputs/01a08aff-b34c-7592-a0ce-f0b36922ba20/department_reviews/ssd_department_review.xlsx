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49c36317d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077fca29a74b59"/>
    <x:sheet xmlns:r="http://schemas.openxmlformats.org/officeDocument/2006/relationships" name="Data &amp; Targets" sheetId="2" r:id="Rc2fb13cf06f7437e"/>
    <x:sheet xmlns:r="http://schemas.openxmlformats.org/officeDocument/2006/relationships" name="_Chart Helpers" sheetId="3" r:id="R12e8ae4d07ee4e39"/>
    <x:sheet xmlns:r="http://schemas.openxmlformats.org/officeDocument/2006/relationships" name="Departments" sheetId="4" r:id="Rceb6e0da5daf4703"/>
    <x:sheet xmlns:r="http://schemas.openxmlformats.org/officeDocument/2006/relationships" name="Generation rules" sheetId="5" r:id="Radcb65f4752f4baa"/>
    <x:sheet xmlns:r="http://schemas.openxmlformats.org/officeDocument/2006/relationships" name="Timetable" sheetId="6" r:id="R7788f03df7b1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152A3C"/>
      </x:patternFill>
    </x:fill>
    <x:fill>
      <x:patternFill patternType="solid">
        <x:fgColor rgb="FFFFF0D6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3" fillId="15" borderId="0" xfId="0" applyNumberFormat="1" applyFont="1" applyFill="1" applyBorder="1"/>
    <x:xf numFmtId="0" fontId="24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2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248c5df4b4fbc" /><Relationship Type="http://schemas.openxmlformats.org/officeDocument/2006/relationships/theme" Target="/xl/theme/theme1.xml" Id="R796e615d1d694171" /><Relationship Type="http://schemas.openxmlformats.org/officeDocument/2006/relationships/sharedStrings" Target="/xl/sharedStrings.xml" Id="R728310db17ee4430" /><Relationship Type="http://schemas.openxmlformats.org/officeDocument/2006/relationships/worksheet" Target="/xl/worksheets/sheet1.xml" Id="R2f077fca29a74b59" /><Relationship Type="http://schemas.openxmlformats.org/officeDocument/2006/relationships/worksheet" Target="/xl/worksheets/sheet2.xml" Id="Rc2fb13cf06f7437e" /><Relationship Type="http://schemas.openxmlformats.org/officeDocument/2006/relationships/worksheet" Target="/xl/worksheets/sheet3.xml" Id="R12e8ae4d07ee4e39" /><Relationship Type="http://schemas.openxmlformats.org/officeDocument/2006/relationships/worksheet" Target="/xl/worksheets/sheet4.xml" Id="Rceb6e0da5daf4703" /><Relationship Type="http://schemas.openxmlformats.org/officeDocument/2006/relationships/worksheet" Target="/xl/worksheets/sheet5.xml" Id="Radcb65f4752f4baa" /><Relationship Type="http://schemas.openxmlformats.org/officeDocument/2006/relationships/worksheet" Target="/xl/worksheets/sheet6.xml" Id="R7788f03df7b14e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b32a290c4249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b32a290c4249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e8c96ae95f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91c57c5f3af435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</x:row>
    <x:row r="2" ht="22" customHeight="1">
      <x:c r="A2" s="102" t="str">
        <x:v>SSD | Department service review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/>
      <x:c r="P2"/>
      <x:c r="Q2"/>
    </x:row>
    <x:row r="3" ht="22" customHeight="1">
      <x:c r="A3" s="101" t="str">
        <x:v>2026-01-01 05:00:00 to 2026-01-08 05:00:00 (end excluded) | Category owner to confirm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/>
      <x:c r="P3"/>
      <x:c r="Q3"/>
    </x:row>
    <x:row r="4" ht="22" customHeight="1">
      <x:c r="A4" s="101" t="str">
        <x:v>SIMULATED SERVICE  |  Category files are separate. Current-service inputs are amber and initially blank.</x:v>
      </x:c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/>
      <x:c r="P4"/>
      <x:c r="Q4"/>
    </x:row>
    <x:row r="5" ht="22" customHeight="1">
      <x:c r="A5" s="101"/>
      <x:c r="B5" s="101"/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/>
      <x:c r="P5"/>
      <x:c r="Q5"/>
    </x:row>
    <x:row r="6" ht="22" customHeight="1">
      <x:c r="A6" s="101" t="str">
        <x:v>DELIVERIES</x:v>
      </x:c>
      <x:c r="B6" s="101"/>
      <x:c r="C6" s="101"/>
      <x:c r="D6" s="101" t="str">
        <x:v>COLLECTIONS</x:v>
      </x:c>
      <x:c r="E6" s="101"/>
      <x:c r="F6" s="101"/>
      <x:c r="G6" s="101" t="str">
        <x:v>DEPARTMENTS IN SCOPE</x:v>
      </x:c>
      <x:c r="H6" s="101"/>
      <x:c r="I6" s="101"/>
      <x:c r="J6" s="101"/>
      <x:c r="K6" s="101" t="str">
        <x:v>NOT COMPLETED</x:v>
      </x:c>
      <x:c r="L6" s="101"/>
      <x:c r="M6" s="101"/>
      <x:c r="N6" s="101"/>
      <x:c r="O6"/>
      <x:c r="P6"/>
      <x:c r="Q6"/>
    </x:row>
    <x:row r="7" ht="22" customHeight="1">
      <x:c r="A7" s="108" t="n">
        <x:f>SUMIF(C31:C31,"Delivery",K31:K31)</x:f>
        <x:v>0</x:v>
      </x:c>
      <x:c r="B7" s="108"/>
      <x:c r="C7" s="108"/>
      <x:c r="D7" s="108" t="n">
        <x:f>SUMIF(C31:C31,"Collection",K31:K31)</x:f>
        <x:v>0</x:v>
      </x:c>
      <x:c r="E7" s="108"/>
      <x:c r="F7" s="108"/>
      <x:c r="G7" s="108" t="n">
        <x:v>0</x:v>
      </x:c>
      <x:c r="H7" s="108"/>
      <x:c r="I7" s="108"/>
      <x:c r="J7" s="108"/>
      <x:c r="K7" s="108" t="n">
        <x:v>0</x:v>
      </x:c>
      <x:c r="L7" s="108"/>
      <x:c r="M7" s="108"/>
      <x:c r="N7" s="108"/>
      <x:c r="O7"/>
      <x:c r="P7"/>
      <x:c r="Q7"/>
    </x:row>
    <x:row r="8" ht="22" customHeight="1">
      <x:c r="A8" s="108"/>
      <x:c r="B8" s="108"/>
      <x:c r="C8" s="108"/>
      <x:c r="D8" s="108"/>
      <x:c r="E8" s="108"/>
      <x:c r="F8" s="108"/>
      <x:c r="G8" s="108"/>
      <x:c r="H8" s="108"/>
      <x:c r="I8" s="108"/>
      <x:c r="J8" s="108"/>
      <x:c r="K8" s="108"/>
      <x:c r="L8" s="108"/>
      <x:c r="M8" s="108"/>
      <x:c r="N8" s="108"/>
      <x:c r="O8"/>
      <x:c r="P8"/>
      <x:c r="Q8"/>
    </x:row>
    <x:row r="9" ht="22" customHeight="1">
      <x:c r="A9" s="101"/>
      <x:c r="B9" s="101"/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/>
      <x:c r="P9"/>
      <x:c r="Q9"/>
    </x:row>
    <x:row r="10" ht="22" customHeight="1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/>
      <x:c r="P10"/>
      <x:c r="Q10"/>
    </x:row>
    <x:row r="11" ht="22" customHeight="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/>
      <x:c r="P11"/>
      <x:c r="Q11"/>
    </x:row>
    <x:row r="12" ht="22" customHeight="1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/>
      <x:c r="P12"/>
      <x:c r="Q12"/>
    </x:row>
    <x:row r="13" ht="22" customHeight="1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/>
      <x:c r="P13"/>
      <x:c r="Q13"/>
    </x:row>
    <x:row r="14" ht="22" customHeight="1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/>
      <x:c r="P14"/>
      <x:c r="Q14"/>
    </x:row>
    <x:row r="15" ht="22" customHeight="1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/>
      <x:c r="P15"/>
      <x:c r="Q15"/>
    </x:row>
    <x:row r="16" ht="22" customHeight="1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/>
      <x:c r="P16"/>
      <x:c r="Q16"/>
    </x:row>
    <x:row r="17" ht="22" customHeight="1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/>
      <x:c r="P17"/>
      <x:c r="Q17"/>
    </x:row>
    <x:row r="18" ht="22" customHeight="1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/>
      <x:c r="P18"/>
      <x:c r="Q18"/>
    </x:row>
    <x:row r="19" ht="22" customHeight="1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/>
      <x:c r="P19"/>
      <x:c r="Q19"/>
    </x:row>
    <x:row r="20" ht="22" customHeight="1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/>
      <x:c r="P20"/>
      <x:c r="Q20"/>
    </x:row>
    <x:row r="21" ht="22" customHeight="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/>
      <x:c r="P21"/>
      <x:c r="Q21"/>
    </x:row>
    <x:row r="22" ht="22" customHeight="1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/>
      <x:c r="P22"/>
      <x:c r="Q22"/>
    </x:row>
    <x:row r="23" ht="22" customHeight="1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/>
      <x:c r="P23"/>
      <x:c r="Q23"/>
    </x:row>
    <x:row r="24" ht="22" customHeight="1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/>
      <x:c r="P24"/>
      <x:c r="Q24"/>
    </x:row>
    <x:row r="25" ht="22" customHeight="1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/>
      <x:c r="P25"/>
      <x:c r="Q25"/>
    </x:row>
    <x:row r="26" ht="22" customHeight="1">
      <x:c r="A26" s="109" t="str">
        <x:v>Weekday coverage: Mon 24 h | Tue 24 h | Wed 24 h | Thu 24 h | Fri 24 h | Sat 24 h | Sun 24 h. Totals are counts across this interval, not daily averages.</x:v>
      </x:c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/>
      <x:c r="P26"/>
      <x:c r="Q26"/>
    </x:row>
    <x:row r="27" ht="22" customHeight="1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/>
      <x:c r="P27"/>
      <x:c r="Q27"/>
    </x:row>
    <x:row r="28" ht="22" customHeight="1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/>
      <x:c r="P28"/>
      <x:c r="Q28"/>
    </x:row>
    <x:row r="29" ht="22" customHeight="1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No records</x:v>
      </x:c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106"/>
      <x:c r="M31" s="95"/>
      <x:c r="N31" s="106"/>
      <x:c r="O31"/>
      <x:c r="P31"/>
      <x:c r="Q31"/>
    </x:row>
    <x:row r="32" ht="22" customHeight="1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/>
      <x:c r="P32"/>
      <x:c r="Q32"/>
    </x:row>
    <x:row r="33" ht="22" customHeight="1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/>
      <x:c r="P33"/>
      <x:c r="Q33"/>
    </x:row>
    <x:row r="34" ht="22" customHeight="1">
      <x:c r="A34" s="109" t="str">
        <x:v>Counts are simulated payload tasks, not AMR visits or measured current service. Each completed task counts once. Deliveries include empty-container returns to collection departments.</x:v>
      </x:c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/>
      <x:c r="P34"/>
      <x:c r="Q34"/>
    </x:row>
    <x:row r="35" ht="22" customHeight="1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/>
      <x:c r="P35"/>
      <x:c r="Q35"/>
    </x:row>
    <x:row r="36" ht="22" customHeight="1">
      <x:c r="A36" s="109" t="str">
        <x:v>Deliveries use the logged staff final arrival at the department where available; otherwise the AMR drop-off completion.</x:v>
      </x:c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/>
      <x:c r="P36"/>
      <x:c r="Q36"/>
    </x:row>
    <x:row r="37" ht="22" customHeight="1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/>
      <x:c r="P37"/>
      <x:c r="Q37"/>
    </x:row>
    <x:row r="38" ht="22" customHeight="1">
      <x:c r="A38" s="109" t="str">
        <x:v>Collections use AMR pickup completion at the department or shared zone. Staff return legs and AMR accommodation trips are not counted again.</x:v>
      </x:c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/>
      <x:c r="P38"/>
      <x:c r="Q38"/>
    </x:row>
    <x:row r="39" ht="22" customHeight="1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/>
      <x:c r="P39"/>
      <x:c r="Q39"/>
    </x:row>
    <x:row r="40" ht="22" customHeight="1">
      <x:c r="A40" s="109" t="str">
        <x:v>Only service times in the reporting interval [start, end) enter weekday totals. Late completions remain in Events; weekdays are calendar days, not shifts.</x:v>
      </x:c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/>
      <x:c r="P40"/>
      <x:c r="Q40"/>
    </x:row>
    <x:row r="41" ht="22" customHeight="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/>
      <x:c r="P41"/>
      <x:c r="Q41"/>
    </x:row>
    <x:row r="42" ht="22" customHeight="1">
      <x:c r="A42" s="109" t="str">
        <x:v>Timetables distinguish configuration schedule times from actual service times. Scheduled waste fill events are not collection promises.</x:v>
      </x:c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/>
      <x:c r="P42"/>
      <x:c r="Q42"/>
    </x:row>
    <x:row r="43" ht="22" customHeight="1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/>
      <x:c r="P43"/>
      <x:c r="Q43"/>
    </x:row>
    <x:row r="44" ht="22" customHeight="1">
      <x:c r="A44" s="109" t="str">
        <x:v>The configuration is a supplied snapshot; the event log does not prove it was the configuration used for this run. Actual counts always come from the log.</x:v>
      </x:c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/>
      <x:c r="P44"/>
      <x:c r="Q44"/>
    </x:row>
    <x:row r="45" ht="22" customHeight="1">
      <x:c r="A45" s="109"/>
      <x:c r="B45" s="109"/>
      <x:c r="C45" s="109"/>
      <x:c r="D45" s="109"/>
      <x:c r="E45" s="109"/>
      <x:c r="F45" s="109">
        <x:f t="shared" ref="F45:F52" si="0">D45-E45</x:f>
      </x:c>
      <x:c r="G45" s="109">
        <x:f t="shared" ref="G45:G52" si="1">IFERROR(D45/E45-1,"")</x:f>
      </x:c>
      <x:c r="H45" s="109"/>
      <x:c r="I45" s="109"/>
      <x:c r="J45" s="109"/>
      <x:c r="K45" s="109"/>
      <x:c r="L45" s="109"/>
      <x:c r="M45" s="109"/>
      <x:c r="N45" s="109"/>
      <x:c r="O45"/>
      <x:c r="P45"/>
      <x:c r="Q45"/>
    </x:row>
    <x:row r="46" ht="22" customHeight="1">
      <x:c r="A46" s="109" t="str">
        <x:v>Current-service comparison cells are blank for the category owner to complete. Unclassified movements are retained for review, excluded from delivery/collection totals.</x:v>
      </x:c>
      <x:c r="B46" s="109"/>
      <x:c r="C46" s="109"/>
      <x:c r="D46" s="109"/>
      <x:c r="E46" s="109"/>
      <x:c r="F46" s="109">
        <x:f t="shared" si="0"/>
      </x:c>
      <x:c r="G46" s="109">
        <x:f t="shared" si="1"/>
      </x:c>
      <x:c r="H46" s="109"/>
      <x:c r="I46" s="109"/>
      <x:c r="J46" s="109"/>
      <x:c r="K46" s="109"/>
      <x:c r="L46" s="109"/>
      <x:c r="M46" s="109"/>
      <x:c r="N46" s="109"/>
      <x:c r="O46"/>
      <x:c r="P46"/>
      <x:c r="Q46"/>
    </x:row>
    <x:row r="47" ht="22" customHeight="1">
      <x:c r="A47" s="109"/>
      <x:c r="B47" s="109"/>
      <x:c r="C47" s="109"/>
      <x:c r="D47" s="109"/>
      <x:c r="E47" s="109"/>
      <x:c r="F47" s="109">
        <x:f t="shared" si="0"/>
      </x:c>
      <x:c r="G47" s="109">
        <x:f t="shared" si="1"/>
      </x:c>
      <x:c r="H47" s="109"/>
      <x:c r="I47" s="109"/>
      <x:c r="J47" s="109"/>
      <x:c r="K47" s="109"/>
      <x:c r="L47" s="109"/>
      <x:c r="M47" s="109"/>
      <x:c r="N47" s="109"/>
      <x:c r="O47"/>
      <x:c r="P47"/>
      <x:c r="Q47"/>
    </x:row>
    <x:row r="48" ht="22" customHeight="1">
      <x:c r="A48" s="109" t="str">
        <x:v>Source CSV: C:\Users\tombe\Documents\AMR_Simulator\ltn_full_20260910.csv</x:v>
      </x:c>
      <x:c r="B48" s="109"/>
      <x:c r="C48" s="109"/>
      <x:c r="D48" s="109"/>
      <x:c r="E48" s="109"/>
      <x:c r="F48" s="109">
        <x:f t="shared" si="0"/>
      </x:c>
      <x:c r="G48" s="109">
        <x:f t="shared" si="1"/>
      </x:c>
      <x:c r="H48" s="109"/>
      <x:c r="I48" s="109"/>
      <x:c r="J48" s="109"/>
      <x:c r="K48" s="109"/>
      <x:c r="L48" s="109"/>
      <x:c r="M48" s="109"/>
      <x:c r="N48" s="109"/>
      <x:c r="O48"/>
      <x:c r="P48"/>
      <x:c r="Q48"/>
    </x:row>
    <x:row r="49" ht="22" customHeight="1">
      <x:c r="A49" s="109"/>
      <x:c r="B49" s="109"/>
      <x:c r="C49" s="109"/>
      <x:c r="D49" s="109"/>
      <x:c r="E49" s="109"/>
      <x:c r="F49" s="109">
        <x:f t="shared" si="0"/>
      </x:c>
      <x:c r="G49" s="109">
        <x:f t="shared" si="1"/>
      </x:c>
      <x:c r="H49" s="109"/>
      <x:c r="I49" s="109"/>
      <x:c r="J49" s="109"/>
      <x:c r="K49" s="109"/>
      <x:c r="L49" s="109"/>
      <x:c r="M49" s="109"/>
      <x:c r="N49" s="109"/>
      <x:c r="O49"/>
      <x:c r="P49"/>
      <x:c r="Q49"/>
    </x:row>
    <x:row r="50" ht="22" customHeight="1">
      <x:c r="A50" s="109" t="str">
        <x:v>Configuration: C:\Users\tombe\Documents\AMR_Simulator\ltn.json</x:v>
      </x:c>
      <x:c r="B50" s="109"/>
      <x:c r="C50" s="109"/>
      <x:c r="D50" s="109"/>
      <x:c r="E50" s="109"/>
      <x:c r="F50" s="109">
        <x:f t="shared" si="0"/>
      </x:c>
      <x:c r="G50" s="109">
        <x:f t="shared" si="1"/>
      </x:c>
      <x:c r="H50" s="109"/>
      <x:c r="I50" s="109"/>
      <x:c r="J50" s="109"/>
      <x:c r="K50" s="109"/>
      <x:c r="L50" s="109"/>
      <x:c r="M50" s="109"/>
      <x:c r="N50" s="109"/>
      <x:c r="O50"/>
      <x:c r="P50"/>
      <x:c r="Q50"/>
    </x:row>
    <x:row r="51" ht="22" customHeight="1">
      <x:c r="A51" s="109"/>
      <x:c r="B51" s="109"/>
      <x:c r="C51" s="109"/>
      <x:c r="D51" s="109"/>
      <x:c r="E51" s="109"/>
      <x:c r="F51" s="109">
        <x:f t="shared" si="0"/>
      </x:c>
      <x:c r="G51" s="109">
        <x:f t="shared" si="1"/>
      </x:c>
      <x:c r="H51" s="109"/>
      <x:c r="I51" s="109"/>
      <x:c r="J51" s="109"/>
      <x:c r="K51" s="109"/>
      <x:c r="L51" s="109"/>
      <x:c r="M51" s="109"/>
      <x:c r="N51" s="109"/>
      <x:c r="O51"/>
      <x:c r="P51"/>
      <x:c r="Q51"/>
    </x:row>
    <x:row r="52" ht="22" customHeight="1">
      <x:c r="A52" s="109" t="str">
        <x:v>Configuration SHA-256: 05a8afff0634c327b84e85cdea2d9d87aa2f7f398daf313c60c388aa3dcd681a</x:v>
      </x:c>
      <x:c r="B52" s="109"/>
      <x:c r="C52" s="109"/>
      <x:c r="D52" s="109"/>
      <x:c r="E52" s="109"/>
      <x:c r="F52" s="109">
        <x:f t="shared" si="0"/>
      </x:c>
      <x:c r="G52" s="109">
        <x:f t="shared" si="1"/>
      </x:c>
      <x:c r="H52" s="109"/>
      <x:c r="I52" s="109"/>
      <x:c r="J52" s="109"/>
      <x:c r="K52" s="109"/>
      <x:c r="L52" s="109"/>
      <x:c r="M52" s="109"/>
      <x:c r="N52" s="109"/>
      <x:c r="O52"/>
      <x:c r="P52"/>
      <x:c r="Q52"/>
    </x:row>
    <x:row r="53" ht="22" customHeight="1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/>
      <x:c r="P53"/>
      <x:c r="Q53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34:N35"/>
    <x:mergeCell ref="A36:N37"/>
    <x:mergeCell ref="A38:N39"/>
    <x:mergeCell ref="A40:N41"/>
    <x:mergeCell ref="A42:N43"/>
    <x:mergeCell ref="A44:N45"/>
    <x:mergeCell ref="A46:N47"/>
    <x:mergeCell ref="A48:N49"/>
    <x:mergeCell ref="A50:N51"/>
    <x:mergeCell ref="A52:N53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15e8c96ae95f482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SSD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No records</x:v>
      </x:c>
      <x:c r="B6" s="95"/>
      <x:c r="C6" s="95"/>
      <x:c r="D6" s="95"/>
      <x:c r="E6" s="95"/>
      <x:c r="F6" s="95"/>
      <x:c r="G6" s="95"/>
      <x:c r="H6" s="98"/>
      <x:c r="I6" s="98"/>
      <x:c r="J6" s="95"/>
      <x:c r="K6" s="95"/>
      <x:c r="L6" s="95"/>
      <x:c r="M6" s="95"/>
      <x:c r="N6" s="95"/>
      <x:c r="O6" s="95"/>
      <x:c r="P6" s="95"/>
      <x:c r="Q6" s="95"/>
      <x:c r="R6" s="98"/>
      <x:c r="S6" s="95"/>
    </x:row>
    <x:row r="7" ht="22" customHeight="1"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26"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22" customHeight="1"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34" customHeight="1"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 ht="22" customHeight="1"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Targets'!$F$6:$F$6,"Delivery",'Data &amp; Targets'!$J$6:$J$6,A2,'Data &amp; Targets'!$K$6:$K$6,1)</x:f>
        <x:v>0</x:v>
      </x:c>
      <x:c r="C2" t="n">
        <x:f>COUNTIFS('Data &amp; Targets'!$F$6:$F$6,"Collection",'Data &amp; Targets'!$J$6:$J$6,A2,'Data &amp; Targets'!$K$6:$K$6,1)</x:f>
        <x:v>0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Targets'!$F$6:$F$6,"Delivery",'Data &amp; Targets'!$J$6:$J$6,A3,'Data &amp; Targets'!$K$6:$K$6,1)</x:f>
        <x:v>0</x:v>
      </x:c>
      <x:c r="C3" t="n">
        <x:f>COUNTIFS('Data &amp; Targets'!$F$6:$F$6,"Collection",'Data &amp; Targets'!$J$6:$J$6,A3,'Data &amp; Targets'!$K$6:$K$6,1)</x:f>
        <x:v>0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Targets'!$F$6:$F$6,"Delivery",'Data &amp; Targets'!$J$6:$J$6,A4,'Data &amp; Targets'!$K$6:$K$6,1)</x:f>
        <x:v>0</x:v>
      </x:c>
      <x:c r="C4" t="n">
        <x:f>COUNTIFS('Data &amp; Targets'!$F$6:$F$6,"Collection",'Data &amp; Targets'!$J$6:$J$6,A4,'Data &amp; Targets'!$K$6:$K$6,1)</x:f>
        <x:v>0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Targets'!$F$6:$F$6,"Delivery",'Data &amp; Targets'!$J$6:$J$6,A5,'Data &amp; Targets'!$K$6:$K$6,1)</x:f>
        <x:v>0</x:v>
      </x:c>
      <x:c r="C5" t="n">
        <x:f>COUNTIFS('Data &amp; Targets'!$F$6:$F$6,"Collection",'Data &amp; Targets'!$J$6:$J$6,A5,'Data &amp; Targets'!$K$6:$K$6,1)</x:f>
        <x:v>0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Targets'!$F$6:$F$6,"Delivery",'Data &amp; Targets'!$J$6:$J$6,A6,'Data &amp; Targets'!$K$6:$K$6,1)</x:f>
        <x:v>0</x:v>
      </x:c>
      <x:c r="C6" t="n">
        <x:f>COUNTIFS('Data &amp; Targets'!$F$6:$F$6,"Collection",'Data &amp; Targets'!$J$6:$J$6,A6,'Data &amp; Targets'!$K$6:$K$6,1)</x:f>
        <x:v>0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Targets'!$F$6:$F$6,"Delivery",'Data &amp; Targets'!$J$6:$J$6,A7,'Data &amp; Targets'!$K$6:$K$6,1)</x:f>
        <x:v>0</x:v>
      </x:c>
      <x:c r="C7" t="n">
        <x:f>COUNTIFS('Data &amp; Targets'!$F$6:$F$6,"Collection",'Data &amp; Targets'!$J$6:$J$6,A7,'Data &amp; Targets'!$K$6:$K$6,1)</x:f>
        <x:v>0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Targets'!$F$6:$F$6,"Delivery",'Data &amp; Targets'!$J$6:$J$6,A8,'Data &amp; Targets'!$K$6:$K$6,1)</x:f>
        <x:v>0</x:v>
      </x:c>
      <x:c r="C8" t="n">
        <x:f>COUNTIFS('Data &amp; Targets'!$F$6:$F$6,"Collection",'Data &amp; Targets'!$J$6:$J$6,A8,'Data &amp; Targets'!$K$6:$K$6,1)</x:f>
        <x:v>0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SSD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No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/>
      <x:c r="J6" s="95" t="str"/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No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/>
      <x:c r="J7" s="95" t="str"/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No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/>
      <x:c r="J8" s="95" t="str"/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No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/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No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/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No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/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No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/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No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/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No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/>
      <x:c r="J14" s="95" t="str"/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No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/>
      <x:c r="J15" s="95" t="str"/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No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/>
      <x:c r="J16" s="95" t="str"/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No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/>
      <x:c r="J17" s="95" t="str"/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No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/>
      <x:c r="J18" s="95" t="str"/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No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/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No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/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No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/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No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/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No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/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No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>
        <x:v>D20-SSD, D20-SSD_2</x:v>
      </x:c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No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/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No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/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No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/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No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/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No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/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No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/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No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/>
      <x:c r="J31" s="95" t="str"/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No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/>
      <x:c r="J32" s="95" t="str"/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No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/>
      <x:c r="J33" s="95" t="str"/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No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/>
      <x:c r="J34" s="95" t="str"/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No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/>
      <x:c r="J35" s="95" t="str"/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No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/>
      <x:c r="J36" s="95" t="str"/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No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/>
      <x:c r="J37" s="95" t="str"/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No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/>
      <x:c r="J38" s="95" t="str"/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No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/>
      <x:c r="J39" s="95" t="str"/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No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/>
      <x:c r="J40" s="95" t="str"/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No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/>
      <x:c r="J41" s="95" t="str"/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No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/>
      <x:c r="J42" s="95" t="str"/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No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/>
      <x:c r="J43" s="95" t="str"/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No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/>
      <x:c r="J44" s="95" t="str"/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No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/>
      <x:c r="J45" s="95" t="str"/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No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/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No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/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/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/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a91c57c5f3af43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SSD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No records</x:v>
      </x:c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</x:row>
  </x:sheetData>
  <x:mergeCells>
    <x:mergeCell ref="A2:O2"/>
    <x:mergeCell ref="A3:O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SSD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30" customHeight="1">
      <x:c r="A6" s="99" t="str">
        <x:v>No records</x:v>
      </x:c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  <x:c r="AA6" s="95"/>
      <x:c r="AB6" s="95"/>
    </x:row>
  </x:sheetData>
  <x:mergeCells>
    <x:mergeCell ref="A2:AB2"/>
    <x:mergeCell ref="A3:AB4"/>
  </x:mergeCells>
  <x:pageMargins left="0.7" right="0.7" top="0.75" bottom="0.75" header="0.3" footer="0.3"/>
</x:worksheet>
</file>